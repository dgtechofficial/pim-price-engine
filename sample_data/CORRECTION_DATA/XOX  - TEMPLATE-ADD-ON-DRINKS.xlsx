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CORRECTION_DATA\"/>
    </mc:Choice>
  </mc:AlternateContent>
  <xr:revisionPtr revIDLastSave="0" documentId="13_ncr:1_{94D819A6-E234-4E4F-942C-3AB277F076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3" sheetId="4" r:id="rId1"/>
    <sheet name="Sheet1" sheetId="2" r:id="rId2"/>
    <sheet name="Sheet4" sheetId="5" r:id="rId3"/>
    <sheet name="Worksheet" sheetId="1" r:id="rId4"/>
    <sheet name="Sheet2" sheetId="3" r:id="rId5"/>
  </sheets>
  <definedNames>
    <definedName name="_xlnm._FilterDatabase" localSheetId="4" hidden="1">Sheet2!$A$1:$P$49</definedName>
    <definedName name="_xlnm._FilterDatabase" localSheetId="0" hidden="1">Sheet3!$A$1:$O$49</definedName>
    <definedName name="_xlnm._FilterDatabase" localSheetId="3" hidden="1">Worksheet!$A$1:$D$49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</calcChain>
</file>

<file path=xl/sharedStrings.xml><?xml version="1.0" encoding="utf-8"?>
<sst xmlns="http://schemas.openxmlformats.org/spreadsheetml/2006/main" count="658" uniqueCount="155">
  <si>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</si>
  <si>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</si>
  <si>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</si>
  <si>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</si>
  <si>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</si>
  <si>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</si>
  <si>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</si>
  <si>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</si>
  <si>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</si>
  <si>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</si>
  <si>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</si>
  <si>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</si>
  <si>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</si>
  <si>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</si>
  <si>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</si>
  <si>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</si>
  <si>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</si>
  <si>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</si>
  <si>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</si>
  <si>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</si>
  <si>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Go Iced Latte Large</t>
  </si>
  <si>
    <t>TRUE</t>
  </si>
  <si>
    <t>Active</t>
  </si>
  <si>
    <t>FALSE</t>
  </si>
  <si>
    <t>MC608011000063</t>
  </si>
  <si>
    <t>Pepsi Black Regular</t>
  </si>
  <si>
    <t>MC6081110003318</t>
  </si>
  <si>
    <t>Go Large Mug</t>
  </si>
  <si>
    <t>MC6081110003325</t>
  </si>
  <si>
    <t>Mountain Dew Regular</t>
  </si>
  <si>
    <t>Mashed Potato</t>
  </si>
  <si>
    <t>Go Large Coke Zero</t>
  </si>
  <si>
    <t>Go Medium Mountain Dew</t>
  </si>
  <si>
    <t>Go Medium Coke Zero</t>
  </si>
  <si>
    <t>Chicken Macaroni Soup</t>
  </si>
  <si>
    <t>MC6081110003507</t>
  </si>
  <si>
    <t>Coke Regular</t>
  </si>
  <si>
    <t>Iced Mocha Regular</t>
  </si>
  <si>
    <t>MC6081110003417</t>
  </si>
  <si>
    <t>Go Medium Royal</t>
  </si>
  <si>
    <t>Go Medium Pineapple Juice</t>
  </si>
  <si>
    <t>Go Large Mirinda</t>
  </si>
  <si>
    <t>Go Medium Coke</t>
  </si>
  <si>
    <t>MC6081110003453</t>
  </si>
  <si>
    <t>MC6081110003454</t>
  </si>
  <si>
    <t>Go Medium 7Up</t>
  </si>
  <si>
    <t>Go Medium Pepsi Black</t>
  </si>
  <si>
    <t>Go Medium Pepsi</t>
  </si>
  <si>
    <t>MC608011000098</t>
  </si>
  <si>
    <t>Pepsi Regular</t>
  </si>
  <si>
    <t>Iced Latte Large</t>
  </si>
  <si>
    <t>MC6081110003377</t>
  </si>
  <si>
    <t>Peach Mango Pie</t>
  </si>
  <si>
    <t>Go Iced Mocha Regular</t>
  </si>
  <si>
    <t>Regular Fries</t>
  </si>
  <si>
    <t>MC6081110003319</t>
  </si>
  <si>
    <t>Go Large Royal</t>
  </si>
  <si>
    <t>Iced Latte Regular</t>
  </si>
  <si>
    <t>MC6081110003508</t>
  </si>
  <si>
    <t>Iced Tea Regular</t>
  </si>
  <si>
    <t>Mirinda Regular</t>
  </si>
  <si>
    <t>Go Pepsi Float</t>
  </si>
  <si>
    <t>Go Medium Sprite</t>
  </si>
  <si>
    <t>Go Iced Latte Regular</t>
  </si>
  <si>
    <t>MC6081110003323</t>
  </si>
  <si>
    <t>Go Large Sprite</t>
  </si>
  <si>
    <t>Go Large Orange Juice</t>
  </si>
  <si>
    <t>Iced Mocha Large</t>
  </si>
  <si>
    <t>MC6081110003419</t>
  </si>
  <si>
    <t>MC6081110003458</t>
  </si>
  <si>
    <t>Go Medium Orange Juice</t>
  </si>
  <si>
    <t>Go Large Pepsi</t>
  </si>
  <si>
    <t>MC6081110003320</t>
  </si>
  <si>
    <t>MC6081110003314</t>
  </si>
  <si>
    <t>MC608011000094</t>
  </si>
  <si>
    <t>MC6081110003455</t>
  </si>
  <si>
    <t>Go Large Coke</t>
  </si>
  <si>
    <t>MC608011000092</t>
  </si>
  <si>
    <t>MC6081110003317</t>
  </si>
  <si>
    <t>Mug Regular</t>
  </si>
  <si>
    <t>Go Iced Mocha Float</t>
  </si>
  <si>
    <t>7UP Regular</t>
  </si>
  <si>
    <t>MC6081110003316</t>
  </si>
  <si>
    <t>Go Large Iced Tea</t>
  </si>
  <si>
    <t>MC6081110003476</t>
  </si>
  <si>
    <t>Iced Mocha Float</t>
  </si>
  <si>
    <t>MC6081110003421</t>
  </si>
  <si>
    <t>Go Large Minute Maid Orange Juice Drink</t>
  </si>
  <si>
    <t>MC6081110003486</t>
  </si>
  <si>
    <t>Go Large Mountain Dew</t>
  </si>
  <si>
    <t>MC6081110003324</t>
  </si>
  <si>
    <t>MC608011000090</t>
  </si>
  <si>
    <t>Go Large Pepsi Black*</t>
  </si>
  <si>
    <t>MC6081110003321</t>
  </si>
  <si>
    <t>7Up Regular</t>
  </si>
  <si>
    <t>Coke Zero Regular</t>
  </si>
  <si>
    <t>Go Coke Float</t>
  </si>
  <si>
    <t>MC608011000099</t>
  </si>
  <si>
    <t>Go Large 7UP</t>
  </si>
  <si>
    <t>MC6081110003322</t>
  </si>
  <si>
    <t>MC608011000085</t>
  </si>
  <si>
    <t>Sprite Regular</t>
  </si>
  <si>
    <t>MC608011000089</t>
  </si>
  <si>
    <t>MC6081110003376</t>
  </si>
  <si>
    <t>MC6081110002966</t>
  </si>
  <si>
    <t>Go Medium Minute Maid Orange Juice Drink</t>
  </si>
  <si>
    <t>MC6081110003485</t>
  </si>
  <si>
    <t>MC6081110003459</t>
  </si>
  <si>
    <t>MC608011000072</t>
  </si>
  <si>
    <t>Go Medium Iced Tea</t>
  </si>
  <si>
    <t>MC608011000097</t>
  </si>
  <si>
    <t>MC6081110003456</t>
  </si>
  <si>
    <t>MC608011000096</t>
  </si>
  <si>
    <t>MC608011000087</t>
  </si>
  <si>
    <t>Go Large 7Up</t>
  </si>
  <si>
    <t>Go Medium Mug</t>
  </si>
  <si>
    <t>Go Medium Mirinda</t>
  </si>
  <si>
    <t>MC6081110003460</t>
  </si>
  <si>
    <t>MC6081110003327</t>
  </si>
  <si>
    <t>Go Medium Coke Zero*</t>
  </si>
  <si>
    <t>MC6081110003457</t>
  </si>
  <si>
    <t>MC6081110003461</t>
  </si>
  <si>
    <t>MC6081110003315</t>
  </si>
  <si>
    <t>Royal Regular</t>
  </si>
  <si>
    <t>MC6081110002965</t>
  </si>
  <si>
    <t>Go Large Pepsi Black</t>
  </si>
  <si>
    <t>MC6081110003462</t>
  </si>
  <si>
    <t>Go Large Pineapple Juice</t>
  </si>
  <si>
    <t>MC6081110003477</t>
  </si>
  <si>
    <t>SVM/VM</t>
  </si>
  <si>
    <t>Go Iced Mocha Large</t>
  </si>
  <si>
    <t>AOS</t>
  </si>
  <si>
    <t>Foodpanda</t>
  </si>
  <si>
    <t>name</t>
  </si>
  <si>
    <t>sku</t>
  </si>
  <si>
    <t>Pkup Reg</t>
  </si>
  <si>
    <t>Pkup 5%</t>
  </si>
  <si>
    <t>Pkup 10%</t>
  </si>
  <si>
    <t>Pkup 15%</t>
  </si>
  <si>
    <t>Pkup 20%</t>
  </si>
  <si>
    <t>Apollo Reg</t>
  </si>
  <si>
    <t>Apollo 5%</t>
  </si>
  <si>
    <t>Apollo 10%</t>
  </si>
  <si>
    <t>Apollo 15%</t>
  </si>
  <si>
    <t>Apollo 20%</t>
  </si>
  <si>
    <t>Grab Reg</t>
  </si>
  <si>
    <t>Grab 5%</t>
  </si>
  <si>
    <t>Grab 10%</t>
  </si>
  <si>
    <t>Grab 15%</t>
  </si>
  <si>
    <t>Grab 20%</t>
  </si>
  <si>
    <t>FP Reg</t>
  </si>
  <si>
    <t>FP 5%</t>
  </si>
  <si>
    <t>FP 10%</t>
  </si>
  <si>
    <t>FP 15%</t>
  </si>
  <si>
    <t>FP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</si>
</sst>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Consolas"/>
      <family val="3"/>
    </font>
    <font>
      <sz val="10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vertical="center"/>
    </xf>
    <xf numFmtId="0" fontId="4" fillId="0" borderId="1" xfId="0" applyFont="1" applyBorder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4" fillId="3" borderId="1" xfId="0" applyFont="1" applyFill="1" applyBorder="1"/>
    <xf numFmtId="0" fontId="1" fillId="0" borderId="0" xfId="1"/>
  </cellXfs>
  <cellStyles count="2">
    <cellStyle name="Normal" xfId="0" builtinId="0"/>
    <cellStyle name="Normal 2" xfId="1" xr:uid="{34A14B9D-201B-46B5-9F9C-78BBEF77BAB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A50F-2CCC-4152-A721-34156FAF670F}">
  <dimension ref="A1:V49"/>
  <sheetViews>
    <sheetView tabSelected="1" workbookViewId="0">
      <selection activeCell="Q14" sqref="Q14"/>
    </sheetView>
  </sheetViews>
  <sheetFormatPr defaultRowHeight="15" x14ac:dyDescent="0.25"/>
  <sheetData>
    <row r="1" spans="1:22" x14ac:dyDescent="0.25">
      <c r="A1" t="s">
        <v>1</v>
      </c>
      <c r="B1" t="s">
        <v>15</v>
      </c>
      <c r="C1" t="s">
        <v>12</v>
      </c>
      <c r="D1" t="s">
        <v>10</v>
      </c>
      <c r="E1" t="s">
        <v>4</v>
      </c>
      <c r="F1" t="s">
        <v>6</v>
      </c>
      <c r="G1" t="s">
        <v>8</v>
      </c>
      <c r="H1" t="s">
        <v>11</v>
      </c>
      <c r="I1" t="s">
        <v>9</v>
      </c>
      <c r="J1" t="s">
        <v>3</v>
      </c>
      <c r="K1" t="s">
        <v>5</v>
      </c>
      <c r="L1" t="s">
        <v>7</v>
      </c>
      <c r="M1" s="9" t="s">
        <v>11</v>
      </c>
      <c r="N1" s="9" t="s">
        <v>9</v>
      </c>
      <c r="O1" s="9" t="s">
        <v>3</v>
      </c>
      <c r="P1" s="9" t="s">
        <v>5</v>
      </c>
      <c r="Q1" s="9" t="s">
        <v>7</v>
      </c>
      <c r="R1" t="s">
        <v>11</v>
      </c>
      <c r="S1" t="s">
        <v>9</v>
      </c>
      <c r="T1" t="s">
        <v>3</v>
      </c>
      <c r="U1" t="s">
        <v>5</v>
      </c>
      <c r="V1" t="s">
        <v>7</v>
      </c>
    </row>
    <row r="2" spans="1:22" x14ac:dyDescent="0.25">
      <c r="A2" t="s">
        <v>27</v>
      </c>
      <c r="B2" t="s">
        <v>28</v>
      </c>
      <c r="C2">
        <v>31</v>
      </c>
      <c r="D2">
        <v>33</v>
      </c>
      <c r="E2">
        <v>35</v>
      </c>
      <c r="G2">
        <v>38</v>
      </c>
      <c r="H2">
        <v>36</v>
      </c>
      <c r="I2">
        <v>38</v>
      </c>
      <c r="J2">
        <v>40</v>
      </c>
      <c r="L2">
        <v>44</v>
      </c>
      <c r="M2" s="9">
        <v>37</v>
      </c>
      <c r="N2" s="9">
        <v>39</v>
      </c>
      <c r="O2" s="9">
        <v>41</v>
      </c>
      <c r="P2" s="9"/>
      <c r="Q2" s="9">
        <v>45</v>
      </c>
      <c r="R2">
        <v>37</v>
      </c>
      <c r="S2">
        <v>40</v>
      </c>
      <c r="T2">
        <v>42</v>
      </c>
      <c r="V2">
        <v>46</v>
      </c>
    </row>
    <row r="3" spans="1:22" x14ac:dyDescent="0.25">
      <c r="A3" t="s">
        <v>29</v>
      </c>
      <c r="B3" t="s">
        <v>26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L3">
        <v>0</v>
      </c>
      <c r="M3" s="9">
        <v>0</v>
      </c>
      <c r="N3" s="9">
        <v>0</v>
      </c>
      <c r="O3" s="9">
        <v>0</v>
      </c>
      <c r="P3" s="9"/>
      <c r="Q3" s="9">
        <v>0</v>
      </c>
      <c r="R3">
        <v>0</v>
      </c>
      <c r="S3">
        <v>0</v>
      </c>
      <c r="T3">
        <v>0</v>
      </c>
      <c r="V3">
        <v>0</v>
      </c>
    </row>
    <row r="4" spans="1:22" x14ac:dyDescent="0.25">
      <c r="A4" t="s">
        <v>34</v>
      </c>
      <c r="B4" t="s">
        <v>35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L4">
        <v>0</v>
      </c>
      <c r="M4" s="9">
        <v>0</v>
      </c>
      <c r="N4" s="9">
        <v>0</v>
      </c>
      <c r="O4" s="9">
        <v>0</v>
      </c>
      <c r="P4" s="9"/>
      <c r="Q4" s="9">
        <v>0</v>
      </c>
      <c r="R4">
        <v>0</v>
      </c>
      <c r="S4">
        <v>0</v>
      </c>
      <c r="T4">
        <v>0</v>
      </c>
      <c r="V4">
        <v>0</v>
      </c>
    </row>
    <row r="5" spans="1:22" x14ac:dyDescent="0.25">
      <c r="A5" t="s">
        <v>37</v>
      </c>
      <c r="B5" t="s">
        <v>38</v>
      </c>
      <c r="C5">
        <v>45</v>
      </c>
      <c r="D5">
        <v>48</v>
      </c>
      <c r="E5">
        <v>50</v>
      </c>
      <c r="G5">
        <v>54</v>
      </c>
      <c r="H5">
        <v>52</v>
      </c>
      <c r="I5">
        <v>55</v>
      </c>
      <c r="J5">
        <v>57</v>
      </c>
      <c r="L5">
        <v>62</v>
      </c>
      <c r="M5" s="9">
        <v>53</v>
      </c>
      <c r="N5" s="9">
        <v>56</v>
      </c>
      <c r="O5" s="9">
        <v>59</v>
      </c>
      <c r="P5" s="9"/>
      <c r="Q5" s="9">
        <v>63</v>
      </c>
      <c r="R5">
        <v>54</v>
      </c>
      <c r="S5">
        <v>57</v>
      </c>
      <c r="T5">
        <v>60</v>
      </c>
      <c r="V5">
        <v>64</v>
      </c>
    </row>
    <row r="6" spans="1:22" x14ac:dyDescent="0.25">
      <c r="A6" t="s">
        <v>42</v>
      </c>
      <c r="B6" t="s">
        <v>43</v>
      </c>
      <c r="C6">
        <v>26</v>
      </c>
      <c r="D6">
        <v>28</v>
      </c>
      <c r="E6">
        <v>29</v>
      </c>
      <c r="G6">
        <v>32</v>
      </c>
      <c r="H6">
        <v>30</v>
      </c>
      <c r="I6">
        <v>32</v>
      </c>
      <c r="J6">
        <v>33</v>
      </c>
      <c r="L6">
        <v>37</v>
      </c>
      <c r="M6" s="9">
        <v>31</v>
      </c>
      <c r="N6" s="9">
        <v>33</v>
      </c>
      <c r="O6" s="9">
        <v>34</v>
      </c>
      <c r="P6" s="9"/>
      <c r="Q6" s="9">
        <v>38</v>
      </c>
      <c r="R6">
        <v>31</v>
      </c>
      <c r="S6">
        <v>34</v>
      </c>
      <c r="T6">
        <v>35</v>
      </c>
      <c r="V6">
        <v>38</v>
      </c>
    </row>
    <row r="7" spans="1:22" x14ac:dyDescent="0.25">
      <c r="A7" t="s">
        <v>40</v>
      </c>
      <c r="B7" t="s">
        <v>48</v>
      </c>
      <c r="C7">
        <v>41</v>
      </c>
      <c r="D7">
        <v>44</v>
      </c>
      <c r="E7">
        <v>46</v>
      </c>
      <c r="G7">
        <v>50</v>
      </c>
      <c r="H7">
        <v>47</v>
      </c>
      <c r="I7">
        <v>50</v>
      </c>
      <c r="J7">
        <v>53</v>
      </c>
      <c r="L7">
        <v>57</v>
      </c>
      <c r="M7" s="9">
        <v>48</v>
      </c>
      <c r="N7" s="9">
        <v>52</v>
      </c>
      <c r="O7" s="9">
        <v>54</v>
      </c>
      <c r="P7" s="9"/>
      <c r="Q7" s="9">
        <v>59</v>
      </c>
      <c r="R7">
        <v>49</v>
      </c>
      <c r="S7">
        <v>53</v>
      </c>
      <c r="T7">
        <v>55</v>
      </c>
      <c r="V7">
        <v>60</v>
      </c>
    </row>
    <row r="8" spans="1:22" x14ac:dyDescent="0.25">
      <c r="A8" t="s">
        <v>50</v>
      </c>
      <c r="B8" t="s">
        <v>51</v>
      </c>
      <c r="C8">
        <v>51</v>
      </c>
      <c r="D8">
        <v>54</v>
      </c>
      <c r="E8">
        <v>57</v>
      </c>
      <c r="G8">
        <v>62</v>
      </c>
      <c r="H8">
        <v>58</v>
      </c>
      <c r="I8">
        <v>62</v>
      </c>
      <c r="J8">
        <v>65</v>
      </c>
      <c r="L8">
        <v>71</v>
      </c>
      <c r="M8" s="9">
        <v>60</v>
      </c>
      <c r="N8" s="9">
        <v>63</v>
      </c>
      <c r="O8" s="9">
        <v>67</v>
      </c>
      <c r="P8" s="9"/>
      <c r="Q8" s="9">
        <v>73</v>
      </c>
      <c r="R8">
        <v>61</v>
      </c>
      <c r="S8">
        <v>64</v>
      </c>
      <c r="T8">
        <v>68</v>
      </c>
      <c r="V8">
        <v>74</v>
      </c>
    </row>
    <row r="9" spans="1:22" x14ac:dyDescent="0.25">
      <c r="A9" t="s">
        <v>30</v>
      </c>
      <c r="B9" t="s">
        <v>58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L9">
        <v>0</v>
      </c>
      <c r="M9" s="9">
        <v>0</v>
      </c>
      <c r="N9" s="9">
        <v>0</v>
      </c>
      <c r="O9" s="9">
        <v>0</v>
      </c>
      <c r="P9" s="9"/>
      <c r="Q9" s="9">
        <v>0</v>
      </c>
      <c r="R9">
        <v>0</v>
      </c>
      <c r="S9">
        <v>0</v>
      </c>
      <c r="T9">
        <v>0</v>
      </c>
      <c r="V9">
        <v>0</v>
      </c>
    </row>
    <row r="10" spans="1:22" x14ac:dyDescent="0.25">
      <c r="A10" t="s">
        <v>41</v>
      </c>
      <c r="B10" t="s">
        <v>64</v>
      </c>
      <c r="C10">
        <v>31</v>
      </c>
      <c r="D10">
        <v>33</v>
      </c>
      <c r="E10">
        <v>35</v>
      </c>
      <c r="G10">
        <v>38</v>
      </c>
      <c r="H10">
        <v>36</v>
      </c>
      <c r="I10">
        <v>38</v>
      </c>
      <c r="J10">
        <v>40</v>
      </c>
      <c r="L10">
        <v>44</v>
      </c>
      <c r="M10" s="9">
        <v>37</v>
      </c>
      <c r="N10" s="9">
        <v>39</v>
      </c>
      <c r="O10" s="9">
        <v>41</v>
      </c>
      <c r="P10" s="9"/>
      <c r="Q10" s="9">
        <v>45</v>
      </c>
      <c r="R10">
        <v>37</v>
      </c>
      <c r="S10">
        <v>40</v>
      </c>
      <c r="T10">
        <v>42</v>
      </c>
      <c r="V10">
        <v>46</v>
      </c>
    </row>
    <row r="11" spans="1:22" x14ac:dyDescent="0.25">
      <c r="A11" t="s">
        <v>67</v>
      </c>
      <c r="B11" t="s">
        <v>68</v>
      </c>
      <c r="C11">
        <v>61</v>
      </c>
      <c r="D11">
        <v>65</v>
      </c>
      <c r="E11">
        <v>68</v>
      </c>
      <c r="G11">
        <v>74</v>
      </c>
      <c r="H11">
        <v>70</v>
      </c>
      <c r="I11">
        <v>74</v>
      </c>
      <c r="J11">
        <v>78</v>
      </c>
      <c r="L11">
        <v>84</v>
      </c>
      <c r="M11" s="9">
        <v>72</v>
      </c>
      <c r="N11" s="9">
        <v>76</v>
      </c>
      <c r="O11" s="9">
        <v>80</v>
      </c>
      <c r="P11" s="9"/>
      <c r="Q11" s="9">
        <v>87</v>
      </c>
      <c r="R11">
        <v>73</v>
      </c>
      <c r="S11">
        <v>78</v>
      </c>
      <c r="T11">
        <v>81</v>
      </c>
      <c r="V11">
        <v>88</v>
      </c>
    </row>
    <row r="12" spans="1:22" x14ac:dyDescent="0.25">
      <c r="A12" t="s">
        <v>46</v>
      </c>
      <c r="B12" t="s">
        <v>69</v>
      </c>
      <c r="C12">
        <v>26</v>
      </c>
      <c r="D12">
        <v>28</v>
      </c>
      <c r="E12">
        <v>29</v>
      </c>
      <c r="G12">
        <v>32</v>
      </c>
      <c r="H12">
        <v>30</v>
      </c>
      <c r="I12">
        <v>32</v>
      </c>
      <c r="J12">
        <v>33</v>
      </c>
      <c r="L12">
        <v>37</v>
      </c>
      <c r="M12" s="9">
        <v>31</v>
      </c>
      <c r="N12" s="9">
        <v>33</v>
      </c>
      <c r="O12" s="9">
        <v>34</v>
      </c>
      <c r="P12" s="9"/>
      <c r="Q12" s="9">
        <v>38</v>
      </c>
      <c r="R12">
        <v>31</v>
      </c>
      <c r="S12">
        <v>34</v>
      </c>
      <c r="T12">
        <v>35</v>
      </c>
      <c r="V12">
        <v>38</v>
      </c>
    </row>
    <row r="13" spans="1:22" x14ac:dyDescent="0.25">
      <c r="A13" t="s">
        <v>71</v>
      </c>
      <c r="B13" t="s">
        <v>72</v>
      </c>
      <c r="C13">
        <v>31</v>
      </c>
      <c r="D13">
        <v>33</v>
      </c>
      <c r="E13">
        <v>35</v>
      </c>
      <c r="G13">
        <v>38</v>
      </c>
      <c r="H13">
        <v>36</v>
      </c>
      <c r="I13">
        <v>38</v>
      </c>
      <c r="J13">
        <v>40</v>
      </c>
      <c r="L13">
        <v>44</v>
      </c>
      <c r="M13" s="9">
        <v>37</v>
      </c>
      <c r="N13" s="9">
        <v>39</v>
      </c>
      <c r="O13" s="9">
        <v>41</v>
      </c>
      <c r="P13" s="9"/>
      <c r="Q13" s="9">
        <v>45</v>
      </c>
      <c r="R13">
        <v>37</v>
      </c>
      <c r="S13">
        <v>40</v>
      </c>
      <c r="T13">
        <v>42</v>
      </c>
      <c r="V13">
        <v>46</v>
      </c>
    </row>
    <row r="14" spans="1:22" x14ac:dyDescent="0.25">
      <c r="A14" t="s">
        <v>49</v>
      </c>
      <c r="B14" t="s">
        <v>73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J14">
        <v>0</v>
      </c>
      <c r="L14">
        <v>0</v>
      </c>
      <c r="M14" s="9">
        <v>0</v>
      </c>
      <c r="N14" s="9">
        <v>0</v>
      </c>
      <c r="O14" s="9">
        <v>0</v>
      </c>
      <c r="P14" s="9"/>
      <c r="Q14" s="9">
        <v>0</v>
      </c>
      <c r="R14">
        <v>0</v>
      </c>
      <c r="S14">
        <v>0</v>
      </c>
      <c r="T14">
        <v>0</v>
      </c>
      <c r="V14">
        <v>0</v>
      </c>
    </row>
    <row r="15" spans="1:22" x14ac:dyDescent="0.25">
      <c r="A15" t="s">
        <v>31</v>
      </c>
      <c r="B15" t="s">
        <v>74</v>
      </c>
      <c r="C15">
        <v>31</v>
      </c>
      <c r="D15">
        <v>33</v>
      </c>
      <c r="E15">
        <v>35</v>
      </c>
      <c r="G15">
        <v>38</v>
      </c>
      <c r="H15">
        <v>36</v>
      </c>
      <c r="I15">
        <v>38</v>
      </c>
      <c r="J15">
        <v>40</v>
      </c>
      <c r="L15">
        <v>44</v>
      </c>
      <c r="M15" s="9">
        <v>37</v>
      </c>
      <c r="N15" s="9">
        <v>39</v>
      </c>
      <c r="O15" s="9">
        <v>41</v>
      </c>
      <c r="P15" s="9"/>
      <c r="Q15" s="9">
        <v>45</v>
      </c>
      <c r="R15">
        <v>37</v>
      </c>
      <c r="S15">
        <v>40</v>
      </c>
      <c r="T15">
        <v>42</v>
      </c>
      <c r="V15">
        <v>46</v>
      </c>
    </row>
    <row r="16" spans="1:22" x14ac:dyDescent="0.25">
      <c r="A16" t="s">
        <v>62</v>
      </c>
      <c r="B16" t="s">
        <v>75</v>
      </c>
      <c r="C16">
        <v>26</v>
      </c>
      <c r="D16">
        <v>28</v>
      </c>
      <c r="E16">
        <v>29</v>
      </c>
      <c r="G16">
        <v>32</v>
      </c>
      <c r="H16">
        <v>30</v>
      </c>
      <c r="I16">
        <v>32</v>
      </c>
      <c r="J16">
        <v>33</v>
      </c>
      <c r="L16">
        <v>37</v>
      </c>
      <c r="M16" s="9">
        <v>31</v>
      </c>
      <c r="N16" s="9">
        <v>33</v>
      </c>
      <c r="O16" s="9">
        <v>34</v>
      </c>
      <c r="P16" s="9"/>
      <c r="Q16" s="9">
        <v>38</v>
      </c>
      <c r="R16">
        <v>31</v>
      </c>
      <c r="S16">
        <v>34</v>
      </c>
      <c r="T16">
        <v>35</v>
      </c>
      <c r="V16">
        <v>38</v>
      </c>
    </row>
    <row r="17" spans="1:22" x14ac:dyDescent="0.25">
      <c r="A17" t="s">
        <v>76</v>
      </c>
      <c r="B17" t="s">
        <v>77</v>
      </c>
      <c r="C17">
        <v>31</v>
      </c>
      <c r="D17">
        <v>33</v>
      </c>
      <c r="E17">
        <v>35</v>
      </c>
      <c r="G17">
        <v>38</v>
      </c>
      <c r="H17">
        <v>36</v>
      </c>
      <c r="I17">
        <v>38</v>
      </c>
      <c r="J17">
        <v>40</v>
      </c>
      <c r="L17">
        <v>44</v>
      </c>
      <c r="M17" s="9">
        <v>37</v>
      </c>
      <c r="N17" s="9">
        <v>39</v>
      </c>
      <c r="O17" s="9">
        <v>41</v>
      </c>
      <c r="P17" s="9"/>
      <c r="Q17" s="9">
        <v>45</v>
      </c>
      <c r="R17">
        <v>37</v>
      </c>
      <c r="S17">
        <v>40</v>
      </c>
      <c r="T17">
        <v>42</v>
      </c>
      <c r="V17">
        <v>46</v>
      </c>
    </row>
    <row r="18" spans="1:22" x14ac:dyDescent="0.25">
      <c r="A18" t="s">
        <v>60</v>
      </c>
      <c r="B18" t="s">
        <v>78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L18">
        <v>0</v>
      </c>
      <c r="M18" s="9">
        <v>0</v>
      </c>
      <c r="N18" s="9">
        <v>0</v>
      </c>
      <c r="O18" s="9">
        <v>0</v>
      </c>
      <c r="P18" s="9"/>
      <c r="Q18" s="9">
        <v>0</v>
      </c>
      <c r="R18">
        <v>0</v>
      </c>
      <c r="S18">
        <v>0</v>
      </c>
      <c r="T18">
        <v>0</v>
      </c>
      <c r="V18">
        <v>0</v>
      </c>
    </row>
    <row r="19" spans="1:22" x14ac:dyDescent="0.25">
      <c r="A19" t="s">
        <v>79</v>
      </c>
      <c r="B19" t="s">
        <v>55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  <c r="L19">
        <v>0</v>
      </c>
      <c r="M19" s="9">
        <v>0</v>
      </c>
      <c r="N19" s="9">
        <v>0</v>
      </c>
      <c r="O19" s="9">
        <v>0</v>
      </c>
      <c r="P19" s="9"/>
      <c r="Q19" s="9">
        <v>0</v>
      </c>
      <c r="R19">
        <v>0</v>
      </c>
      <c r="S19">
        <v>0</v>
      </c>
      <c r="T19">
        <v>0</v>
      </c>
      <c r="V19">
        <v>0</v>
      </c>
    </row>
    <row r="20" spans="1:22" x14ac:dyDescent="0.25">
      <c r="A20" t="s">
        <v>81</v>
      </c>
      <c r="B20" t="s">
        <v>82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L20">
        <v>0</v>
      </c>
      <c r="M20" s="9">
        <v>0</v>
      </c>
      <c r="N20" s="9">
        <v>0</v>
      </c>
      <c r="O20" s="9">
        <v>0</v>
      </c>
      <c r="P20" s="9"/>
      <c r="Q20" s="9">
        <v>0</v>
      </c>
      <c r="R20">
        <v>0</v>
      </c>
      <c r="S20">
        <v>0</v>
      </c>
      <c r="T20">
        <v>0</v>
      </c>
      <c r="V20">
        <v>0</v>
      </c>
    </row>
    <row r="21" spans="1:22" x14ac:dyDescent="0.25">
      <c r="A21" t="s">
        <v>83</v>
      </c>
      <c r="B21" t="s">
        <v>84</v>
      </c>
      <c r="C21">
        <v>46</v>
      </c>
      <c r="D21">
        <v>49</v>
      </c>
      <c r="E21">
        <v>51</v>
      </c>
      <c r="G21">
        <v>56</v>
      </c>
      <c r="H21">
        <v>53</v>
      </c>
      <c r="I21">
        <v>56</v>
      </c>
      <c r="J21">
        <v>58</v>
      </c>
      <c r="L21">
        <v>64</v>
      </c>
      <c r="M21" s="9">
        <v>54</v>
      </c>
      <c r="N21" s="9">
        <v>58</v>
      </c>
      <c r="O21" s="9">
        <v>60</v>
      </c>
      <c r="P21" s="9"/>
      <c r="Q21" s="9">
        <v>66</v>
      </c>
      <c r="R21">
        <v>55</v>
      </c>
      <c r="S21">
        <v>59</v>
      </c>
      <c r="T21">
        <v>61</v>
      </c>
      <c r="V21">
        <v>67</v>
      </c>
    </row>
    <row r="22" spans="1:22" x14ac:dyDescent="0.25">
      <c r="A22" t="s">
        <v>85</v>
      </c>
      <c r="B22" t="s">
        <v>86</v>
      </c>
      <c r="C22">
        <v>52</v>
      </c>
      <c r="D22">
        <v>55</v>
      </c>
      <c r="E22">
        <v>58</v>
      </c>
      <c r="G22">
        <v>63</v>
      </c>
      <c r="H22">
        <v>60</v>
      </c>
      <c r="I22">
        <v>63</v>
      </c>
      <c r="J22">
        <v>66</v>
      </c>
      <c r="L22">
        <v>72</v>
      </c>
      <c r="M22" s="9">
        <v>61</v>
      </c>
      <c r="N22" s="9">
        <v>65</v>
      </c>
      <c r="O22" s="9">
        <v>68</v>
      </c>
      <c r="P22" s="9"/>
      <c r="Q22" s="9">
        <v>74</v>
      </c>
      <c r="R22">
        <v>62</v>
      </c>
      <c r="S22">
        <v>66</v>
      </c>
      <c r="T22">
        <v>69</v>
      </c>
      <c r="V22">
        <v>75</v>
      </c>
    </row>
    <row r="23" spans="1:22" x14ac:dyDescent="0.25">
      <c r="A23" t="s">
        <v>87</v>
      </c>
      <c r="B23" t="s">
        <v>88</v>
      </c>
      <c r="C23">
        <v>46</v>
      </c>
      <c r="D23">
        <v>49</v>
      </c>
      <c r="E23">
        <v>51</v>
      </c>
      <c r="G23">
        <v>56</v>
      </c>
      <c r="H23">
        <v>53</v>
      </c>
      <c r="I23">
        <v>56</v>
      </c>
      <c r="J23">
        <v>58</v>
      </c>
      <c r="L23">
        <v>64</v>
      </c>
      <c r="M23" s="9">
        <v>54</v>
      </c>
      <c r="N23" s="9">
        <v>58</v>
      </c>
      <c r="O23" s="9">
        <v>60</v>
      </c>
      <c r="P23" s="9"/>
      <c r="Q23" s="9">
        <v>66</v>
      </c>
      <c r="R23">
        <v>55</v>
      </c>
      <c r="S23">
        <v>59</v>
      </c>
      <c r="T23">
        <v>61</v>
      </c>
      <c r="V23">
        <v>67</v>
      </c>
    </row>
    <row r="24" spans="1:22" x14ac:dyDescent="0.25">
      <c r="A24" t="s">
        <v>89</v>
      </c>
      <c r="B24" t="s">
        <v>90</v>
      </c>
      <c r="C24">
        <v>31</v>
      </c>
      <c r="D24">
        <v>33</v>
      </c>
      <c r="E24">
        <v>35</v>
      </c>
      <c r="G24">
        <v>38</v>
      </c>
      <c r="H24">
        <v>36</v>
      </c>
      <c r="I24">
        <v>38</v>
      </c>
      <c r="J24">
        <v>40</v>
      </c>
      <c r="L24">
        <v>44</v>
      </c>
      <c r="M24" s="9">
        <v>37</v>
      </c>
      <c r="N24" s="9">
        <v>39</v>
      </c>
      <c r="O24" s="9">
        <v>41</v>
      </c>
      <c r="P24" s="9"/>
      <c r="Q24" s="9">
        <v>45</v>
      </c>
      <c r="R24">
        <v>37</v>
      </c>
      <c r="S24">
        <v>40</v>
      </c>
      <c r="T24">
        <v>42</v>
      </c>
      <c r="V24">
        <v>46</v>
      </c>
    </row>
    <row r="25" spans="1:22" x14ac:dyDescent="0.25">
      <c r="A25" t="s">
        <v>59</v>
      </c>
      <c r="B25" t="s">
        <v>91</v>
      </c>
      <c r="C25">
        <v>0</v>
      </c>
      <c r="D25">
        <v>0</v>
      </c>
      <c r="E25">
        <v>0</v>
      </c>
      <c r="G25">
        <v>0</v>
      </c>
      <c r="H25">
        <v>0</v>
      </c>
      <c r="I25">
        <v>0</v>
      </c>
      <c r="J25">
        <v>0</v>
      </c>
      <c r="L25">
        <v>0</v>
      </c>
      <c r="M25" s="9">
        <v>0</v>
      </c>
      <c r="N25" s="9">
        <v>0</v>
      </c>
      <c r="O25" s="9">
        <v>0</v>
      </c>
      <c r="P25" s="9"/>
      <c r="Q25" s="9">
        <v>0</v>
      </c>
      <c r="R25">
        <v>0</v>
      </c>
      <c r="S25">
        <v>0</v>
      </c>
      <c r="T25">
        <v>0</v>
      </c>
      <c r="V25">
        <v>0</v>
      </c>
    </row>
    <row r="26" spans="1:22" x14ac:dyDescent="0.25">
      <c r="A26" t="s">
        <v>92</v>
      </c>
      <c r="B26" t="s">
        <v>93</v>
      </c>
      <c r="C26">
        <v>31</v>
      </c>
      <c r="D26">
        <v>33</v>
      </c>
      <c r="E26">
        <v>35</v>
      </c>
      <c r="G26">
        <v>38</v>
      </c>
      <c r="H26">
        <v>36</v>
      </c>
      <c r="I26">
        <v>38</v>
      </c>
      <c r="J26">
        <v>40</v>
      </c>
      <c r="L26">
        <v>44</v>
      </c>
      <c r="M26" s="9">
        <v>37</v>
      </c>
      <c r="N26" s="9">
        <v>39</v>
      </c>
      <c r="O26" s="9">
        <v>41</v>
      </c>
      <c r="P26" s="9"/>
      <c r="Q26" s="9">
        <v>45</v>
      </c>
      <c r="R26">
        <v>37</v>
      </c>
      <c r="S26">
        <v>40</v>
      </c>
      <c r="T26">
        <v>42</v>
      </c>
      <c r="V26">
        <v>46</v>
      </c>
    </row>
    <row r="27" spans="1:22" x14ac:dyDescent="0.25">
      <c r="A27" t="s">
        <v>96</v>
      </c>
      <c r="B27" t="s">
        <v>97</v>
      </c>
      <c r="C27">
        <v>37</v>
      </c>
      <c r="D27">
        <v>39</v>
      </c>
      <c r="E27">
        <v>41</v>
      </c>
      <c r="G27">
        <v>45</v>
      </c>
      <c r="H27">
        <v>42</v>
      </c>
      <c r="I27">
        <v>45</v>
      </c>
      <c r="J27">
        <v>47</v>
      </c>
      <c r="L27">
        <v>52</v>
      </c>
      <c r="M27" s="9">
        <v>44</v>
      </c>
      <c r="N27" s="9">
        <v>46</v>
      </c>
      <c r="O27" s="9">
        <v>48</v>
      </c>
      <c r="P27" s="9"/>
      <c r="Q27" s="9">
        <v>53</v>
      </c>
      <c r="R27">
        <v>44</v>
      </c>
      <c r="S27">
        <v>47</v>
      </c>
      <c r="T27">
        <v>49</v>
      </c>
      <c r="V27">
        <v>54</v>
      </c>
    </row>
    <row r="28" spans="1:22" x14ac:dyDescent="0.25">
      <c r="A28" t="s">
        <v>98</v>
      </c>
      <c r="B28" t="s">
        <v>99</v>
      </c>
      <c r="C28">
        <v>31</v>
      </c>
      <c r="D28">
        <v>33</v>
      </c>
      <c r="E28">
        <v>35</v>
      </c>
      <c r="G28">
        <v>38</v>
      </c>
      <c r="H28">
        <v>36</v>
      </c>
      <c r="I28">
        <v>38</v>
      </c>
      <c r="J28">
        <v>40</v>
      </c>
      <c r="L28">
        <v>44</v>
      </c>
      <c r="M28" s="9">
        <v>37</v>
      </c>
      <c r="N28" s="9">
        <v>39</v>
      </c>
      <c r="O28" s="9">
        <v>41</v>
      </c>
      <c r="P28" s="9"/>
      <c r="Q28" s="9">
        <v>45</v>
      </c>
      <c r="R28">
        <v>37</v>
      </c>
      <c r="S28">
        <v>40</v>
      </c>
      <c r="T28">
        <v>42</v>
      </c>
      <c r="V28">
        <v>46</v>
      </c>
    </row>
    <row r="29" spans="1:22" x14ac:dyDescent="0.25">
      <c r="A29" t="s">
        <v>36</v>
      </c>
      <c r="B29" t="s">
        <v>100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L29">
        <v>0</v>
      </c>
      <c r="M29" s="9">
        <v>0</v>
      </c>
      <c r="N29" s="9">
        <v>0</v>
      </c>
      <c r="O29" s="9">
        <v>0</v>
      </c>
      <c r="P29" s="9"/>
      <c r="Q29" s="9">
        <v>0</v>
      </c>
      <c r="R29">
        <v>0</v>
      </c>
      <c r="S29">
        <v>0</v>
      </c>
      <c r="T29">
        <v>0</v>
      </c>
      <c r="V29">
        <v>0</v>
      </c>
    </row>
    <row r="30" spans="1:22" x14ac:dyDescent="0.25">
      <c r="A30" t="s">
        <v>101</v>
      </c>
      <c r="B30" t="s">
        <v>102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L30">
        <v>0</v>
      </c>
      <c r="M30" s="9">
        <v>0</v>
      </c>
      <c r="N30" s="9">
        <v>0</v>
      </c>
      <c r="O30" s="9">
        <v>0</v>
      </c>
      <c r="P30" s="9"/>
      <c r="Q30" s="9">
        <v>0</v>
      </c>
      <c r="R30">
        <v>0</v>
      </c>
      <c r="S30">
        <v>0</v>
      </c>
      <c r="T30">
        <v>0</v>
      </c>
      <c r="V30">
        <v>0</v>
      </c>
    </row>
    <row r="31" spans="1:22" x14ac:dyDescent="0.25">
      <c r="A31" t="s">
        <v>57</v>
      </c>
      <c r="B31" t="s">
        <v>103</v>
      </c>
      <c r="C31">
        <v>30</v>
      </c>
      <c r="D31">
        <v>32</v>
      </c>
      <c r="E31">
        <v>33</v>
      </c>
      <c r="G31">
        <v>36</v>
      </c>
      <c r="H31">
        <v>35</v>
      </c>
      <c r="I31">
        <v>37</v>
      </c>
      <c r="J31">
        <v>38</v>
      </c>
      <c r="L31">
        <v>41</v>
      </c>
      <c r="M31" s="9">
        <v>35</v>
      </c>
      <c r="N31" s="9">
        <v>38</v>
      </c>
      <c r="O31" s="9">
        <v>39</v>
      </c>
      <c r="P31" s="9"/>
      <c r="Q31" s="9">
        <v>42</v>
      </c>
      <c r="R31">
        <v>36</v>
      </c>
      <c r="S31">
        <v>38</v>
      </c>
      <c r="T31">
        <v>40</v>
      </c>
      <c r="V31">
        <v>43</v>
      </c>
    </row>
    <row r="32" spans="1:22" x14ac:dyDescent="0.25">
      <c r="A32" t="s">
        <v>56</v>
      </c>
      <c r="B32" t="s">
        <v>104</v>
      </c>
      <c r="C32">
        <v>31</v>
      </c>
      <c r="D32">
        <v>33</v>
      </c>
      <c r="E32">
        <v>35</v>
      </c>
      <c r="G32">
        <v>38</v>
      </c>
      <c r="H32">
        <v>36</v>
      </c>
      <c r="I32">
        <v>38</v>
      </c>
      <c r="J32">
        <v>40</v>
      </c>
      <c r="L32">
        <v>44</v>
      </c>
      <c r="M32" s="9">
        <v>37</v>
      </c>
      <c r="N32" s="9">
        <v>39</v>
      </c>
      <c r="O32" s="9">
        <v>41</v>
      </c>
      <c r="P32" s="9"/>
      <c r="Q32" s="9">
        <v>45</v>
      </c>
      <c r="R32">
        <v>37</v>
      </c>
      <c r="S32">
        <v>40</v>
      </c>
      <c r="T32">
        <v>42</v>
      </c>
      <c r="V32">
        <v>46</v>
      </c>
    </row>
    <row r="33" spans="1:22" x14ac:dyDescent="0.25">
      <c r="A33" t="s">
        <v>105</v>
      </c>
      <c r="B33" t="s">
        <v>106</v>
      </c>
      <c r="C33">
        <v>41</v>
      </c>
      <c r="D33">
        <v>44</v>
      </c>
      <c r="E33">
        <v>46</v>
      </c>
      <c r="G33">
        <v>50</v>
      </c>
      <c r="H33">
        <v>47</v>
      </c>
      <c r="I33">
        <v>50</v>
      </c>
      <c r="J33">
        <v>53</v>
      </c>
      <c r="L33">
        <v>57</v>
      </c>
      <c r="M33" s="9">
        <v>48</v>
      </c>
      <c r="N33" s="9">
        <v>52</v>
      </c>
      <c r="O33" s="9">
        <v>54</v>
      </c>
      <c r="P33" s="9"/>
      <c r="Q33" s="9">
        <v>59</v>
      </c>
      <c r="R33">
        <v>49</v>
      </c>
      <c r="S33">
        <v>53</v>
      </c>
      <c r="T33">
        <v>55</v>
      </c>
      <c r="V33">
        <v>60</v>
      </c>
    </row>
    <row r="34" spans="1:22" x14ac:dyDescent="0.25">
      <c r="A34" t="s">
        <v>45</v>
      </c>
      <c r="B34" t="s">
        <v>107</v>
      </c>
      <c r="C34">
        <v>26</v>
      </c>
      <c r="D34">
        <v>28</v>
      </c>
      <c r="E34">
        <v>29</v>
      </c>
      <c r="G34">
        <v>32</v>
      </c>
      <c r="H34">
        <v>30</v>
      </c>
      <c r="I34">
        <v>32</v>
      </c>
      <c r="J34">
        <v>33</v>
      </c>
      <c r="L34">
        <v>37</v>
      </c>
      <c r="M34" s="9">
        <v>31</v>
      </c>
      <c r="N34" s="9">
        <v>33</v>
      </c>
      <c r="O34" s="9">
        <v>34</v>
      </c>
      <c r="P34" s="9"/>
      <c r="Q34" s="9">
        <v>38</v>
      </c>
      <c r="R34">
        <v>31</v>
      </c>
      <c r="S34">
        <v>34</v>
      </c>
      <c r="T34">
        <v>35</v>
      </c>
      <c r="V34">
        <v>38</v>
      </c>
    </row>
    <row r="35" spans="1:22" x14ac:dyDescent="0.25">
      <c r="A35" t="s">
        <v>52</v>
      </c>
      <c r="B35" t="s">
        <v>108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J35">
        <v>0</v>
      </c>
      <c r="L35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>
        <v>0</v>
      </c>
      <c r="S35">
        <v>0</v>
      </c>
      <c r="T35">
        <v>0</v>
      </c>
      <c r="V35">
        <v>0</v>
      </c>
    </row>
    <row r="36" spans="1:22" x14ac:dyDescent="0.25">
      <c r="A36" t="s">
        <v>109</v>
      </c>
      <c r="B36" t="s">
        <v>110</v>
      </c>
      <c r="C36">
        <v>41</v>
      </c>
      <c r="D36">
        <v>44</v>
      </c>
      <c r="E36">
        <v>46</v>
      </c>
      <c r="G36">
        <v>50</v>
      </c>
      <c r="H36">
        <v>47</v>
      </c>
      <c r="I36">
        <v>50</v>
      </c>
      <c r="J36">
        <v>53</v>
      </c>
      <c r="L36">
        <v>57</v>
      </c>
      <c r="M36" s="9">
        <v>48</v>
      </c>
      <c r="N36" s="9">
        <v>52</v>
      </c>
      <c r="O36" s="9">
        <v>54</v>
      </c>
      <c r="P36" s="9"/>
      <c r="Q36" s="9">
        <v>59</v>
      </c>
      <c r="R36">
        <v>49</v>
      </c>
      <c r="S36">
        <v>53</v>
      </c>
      <c r="T36">
        <v>55</v>
      </c>
      <c r="V36">
        <v>60</v>
      </c>
    </row>
    <row r="37" spans="1:22" x14ac:dyDescent="0.25">
      <c r="A37" t="s">
        <v>39</v>
      </c>
      <c r="B37" t="s">
        <v>111</v>
      </c>
      <c r="C37">
        <v>26</v>
      </c>
      <c r="D37">
        <v>28</v>
      </c>
      <c r="E37">
        <v>29</v>
      </c>
      <c r="G37">
        <v>32</v>
      </c>
      <c r="H37">
        <v>30</v>
      </c>
      <c r="I37">
        <v>32</v>
      </c>
      <c r="J37">
        <v>33</v>
      </c>
      <c r="L37">
        <v>37</v>
      </c>
      <c r="M37" s="9">
        <v>31</v>
      </c>
      <c r="N37" s="9">
        <v>33</v>
      </c>
      <c r="O37" s="9">
        <v>34</v>
      </c>
      <c r="P37" s="9"/>
      <c r="Q37" s="9">
        <v>38</v>
      </c>
      <c r="R37">
        <v>31</v>
      </c>
      <c r="S37">
        <v>34</v>
      </c>
      <c r="T37">
        <v>35</v>
      </c>
      <c r="V37">
        <v>38</v>
      </c>
    </row>
    <row r="38" spans="1:22" x14ac:dyDescent="0.25">
      <c r="A38" t="s">
        <v>65</v>
      </c>
      <c r="B38" t="s">
        <v>112</v>
      </c>
      <c r="C38">
        <v>31</v>
      </c>
      <c r="D38">
        <v>33</v>
      </c>
      <c r="E38">
        <v>35</v>
      </c>
      <c r="G38">
        <v>38</v>
      </c>
      <c r="H38">
        <v>36</v>
      </c>
      <c r="I38">
        <v>38</v>
      </c>
      <c r="J38">
        <v>40</v>
      </c>
      <c r="L38">
        <v>44</v>
      </c>
      <c r="M38" s="9">
        <v>37</v>
      </c>
      <c r="N38" s="9">
        <v>39</v>
      </c>
      <c r="O38" s="9">
        <v>41</v>
      </c>
      <c r="P38" s="9"/>
      <c r="Q38" s="9">
        <v>45</v>
      </c>
      <c r="R38">
        <v>37</v>
      </c>
      <c r="S38">
        <v>40</v>
      </c>
      <c r="T38">
        <v>42</v>
      </c>
      <c r="V38">
        <v>46</v>
      </c>
    </row>
    <row r="39" spans="1:22" x14ac:dyDescent="0.25">
      <c r="A39" t="s">
        <v>95</v>
      </c>
      <c r="B39" t="s">
        <v>113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0</v>
      </c>
      <c r="L39">
        <v>0</v>
      </c>
      <c r="M39" s="9">
        <v>0</v>
      </c>
      <c r="N39" s="9">
        <v>0</v>
      </c>
      <c r="O39" s="9">
        <v>0</v>
      </c>
      <c r="P39" s="9"/>
      <c r="Q39" s="9">
        <v>0</v>
      </c>
      <c r="R39">
        <v>0</v>
      </c>
      <c r="S39">
        <v>0</v>
      </c>
      <c r="T39">
        <v>0</v>
      </c>
      <c r="V39">
        <v>0</v>
      </c>
    </row>
    <row r="40" spans="1:22" x14ac:dyDescent="0.25">
      <c r="A40" t="s">
        <v>54</v>
      </c>
      <c r="B40" t="s">
        <v>24</v>
      </c>
      <c r="C40">
        <v>0</v>
      </c>
      <c r="D40">
        <v>0</v>
      </c>
      <c r="E40">
        <v>0</v>
      </c>
      <c r="G40">
        <v>0</v>
      </c>
      <c r="H40">
        <v>0</v>
      </c>
      <c r="I40">
        <v>0</v>
      </c>
      <c r="J40">
        <v>0</v>
      </c>
      <c r="L40">
        <v>0</v>
      </c>
      <c r="M40" s="9">
        <v>0</v>
      </c>
      <c r="N40" s="9">
        <v>0</v>
      </c>
      <c r="O40" s="9">
        <v>0</v>
      </c>
      <c r="P40" s="9"/>
      <c r="Q40" s="9">
        <v>0</v>
      </c>
      <c r="R40">
        <v>0</v>
      </c>
      <c r="S40">
        <v>0</v>
      </c>
      <c r="T40">
        <v>0</v>
      </c>
      <c r="V40">
        <v>0</v>
      </c>
    </row>
    <row r="41" spans="1:22" x14ac:dyDescent="0.25">
      <c r="A41" t="s">
        <v>116</v>
      </c>
      <c r="B41" t="s">
        <v>117</v>
      </c>
      <c r="C41">
        <v>26</v>
      </c>
      <c r="D41">
        <v>28</v>
      </c>
      <c r="E41">
        <v>29</v>
      </c>
      <c r="G41">
        <v>32</v>
      </c>
      <c r="H41">
        <v>30</v>
      </c>
      <c r="I41">
        <v>32</v>
      </c>
      <c r="J41">
        <v>33</v>
      </c>
      <c r="L41">
        <v>37</v>
      </c>
      <c r="M41" s="9">
        <v>31</v>
      </c>
      <c r="N41" s="9">
        <v>33</v>
      </c>
      <c r="O41" s="9">
        <v>34</v>
      </c>
      <c r="P41" s="9"/>
      <c r="Q41" s="9">
        <v>38</v>
      </c>
      <c r="R41">
        <v>31</v>
      </c>
      <c r="S41">
        <v>34</v>
      </c>
      <c r="T41">
        <v>35</v>
      </c>
      <c r="V41">
        <v>38</v>
      </c>
    </row>
    <row r="42" spans="1:22" x14ac:dyDescent="0.25">
      <c r="A42" t="s">
        <v>61</v>
      </c>
      <c r="B42" t="s">
        <v>118</v>
      </c>
      <c r="C42">
        <v>33</v>
      </c>
      <c r="D42">
        <v>35</v>
      </c>
      <c r="E42">
        <v>37</v>
      </c>
      <c r="G42">
        <v>40</v>
      </c>
      <c r="H42">
        <v>37</v>
      </c>
      <c r="I42">
        <v>39</v>
      </c>
      <c r="J42">
        <v>41</v>
      </c>
      <c r="L42">
        <v>44</v>
      </c>
      <c r="M42" s="9">
        <v>39</v>
      </c>
      <c r="N42" s="9">
        <v>41</v>
      </c>
      <c r="O42" s="9">
        <v>44</v>
      </c>
      <c r="P42" s="9"/>
      <c r="Q42" s="9">
        <v>47</v>
      </c>
      <c r="R42">
        <v>40</v>
      </c>
      <c r="S42">
        <v>42</v>
      </c>
      <c r="T42">
        <v>44</v>
      </c>
      <c r="V42">
        <v>48</v>
      </c>
    </row>
    <row r="43" spans="1:22" x14ac:dyDescent="0.25">
      <c r="A43" t="s">
        <v>119</v>
      </c>
      <c r="B43" t="s">
        <v>44</v>
      </c>
      <c r="C43">
        <v>26</v>
      </c>
      <c r="D43">
        <v>28</v>
      </c>
      <c r="E43">
        <v>29</v>
      </c>
      <c r="G43">
        <v>32</v>
      </c>
      <c r="H43">
        <v>30</v>
      </c>
      <c r="I43">
        <v>32</v>
      </c>
      <c r="J43">
        <v>33</v>
      </c>
      <c r="L43">
        <v>37</v>
      </c>
      <c r="M43" s="9">
        <v>31</v>
      </c>
      <c r="N43" s="9">
        <v>33</v>
      </c>
      <c r="O43" s="9">
        <v>34</v>
      </c>
      <c r="P43" s="9"/>
      <c r="Q43" s="9">
        <v>38</v>
      </c>
      <c r="R43">
        <v>31</v>
      </c>
      <c r="S43">
        <v>34</v>
      </c>
      <c r="T43">
        <v>35</v>
      </c>
      <c r="V43">
        <v>38</v>
      </c>
    </row>
    <row r="44" spans="1:22" x14ac:dyDescent="0.25">
      <c r="A44" t="s">
        <v>47</v>
      </c>
      <c r="B44" t="s">
        <v>120</v>
      </c>
      <c r="C44">
        <v>26</v>
      </c>
      <c r="D44">
        <v>28</v>
      </c>
      <c r="E44">
        <v>29</v>
      </c>
      <c r="G44">
        <v>32</v>
      </c>
      <c r="H44">
        <v>30</v>
      </c>
      <c r="I44">
        <v>32</v>
      </c>
      <c r="J44">
        <v>33</v>
      </c>
      <c r="L44">
        <v>37</v>
      </c>
      <c r="M44" s="9">
        <v>31</v>
      </c>
      <c r="N44" s="9">
        <v>33</v>
      </c>
      <c r="O44" s="9">
        <v>34</v>
      </c>
      <c r="P44" s="9"/>
      <c r="Q44" s="9">
        <v>38</v>
      </c>
      <c r="R44">
        <v>31</v>
      </c>
      <c r="S44">
        <v>34</v>
      </c>
      <c r="T44">
        <v>35</v>
      </c>
      <c r="V44">
        <v>38</v>
      </c>
    </row>
    <row r="45" spans="1:22" x14ac:dyDescent="0.25">
      <c r="A45" t="s">
        <v>32</v>
      </c>
      <c r="B45" t="s">
        <v>121</v>
      </c>
      <c r="C45">
        <v>26</v>
      </c>
      <c r="D45">
        <v>28</v>
      </c>
      <c r="E45">
        <v>29</v>
      </c>
      <c r="G45">
        <v>32</v>
      </c>
      <c r="H45">
        <v>30</v>
      </c>
      <c r="I45">
        <v>32</v>
      </c>
      <c r="J45">
        <v>33</v>
      </c>
      <c r="L45">
        <v>37</v>
      </c>
      <c r="M45" s="9">
        <v>31</v>
      </c>
      <c r="N45" s="9">
        <v>33</v>
      </c>
      <c r="O45" s="9">
        <v>34</v>
      </c>
      <c r="P45" s="9"/>
      <c r="Q45" s="9">
        <v>38</v>
      </c>
      <c r="R45">
        <v>31</v>
      </c>
      <c r="S45">
        <v>34</v>
      </c>
      <c r="T45">
        <v>35</v>
      </c>
      <c r="V45">
        <v>38</v>
      </c>
    </row>
    <row r="46" spans="1:22" x14ac:dyDescent="0.25">
      <c r="A46" t="s">
        <v>25</v>
      </c>
      <c r="B46" t="s">
        <v>122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L46">
        <v>0</v>
      </c>
      <c r="M46" s="9">
        <v>0</v>
      </c>
      <c r="N46" s="9">
        <v>0</v>
      </c>
      <c r="O46" s="9">
        <v>0</v>
      </c>
      <c r="P46" s="9"/>
      <c r="Q46" s="9">
        <v>0</v>
      </c>
      <c r="R46">
        <v>0</v>
      </c>
      <c r="S46">
        <v>0</v>
      </c>
      <c r="T46">
        <v>0</v>
      </c>
      <c r="V46">
        <v>0</v>
      </c>
    </row>
    <row r="47" spans="1:22" x14ac:dyDescent="0.25">
      <c r="A47" t="s">
        <v>123</v>
      </c>
      <c r="B47" t="s">
        <v>124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L47">
        <v>0</v>
      </c>
      <c r="M47" s="9">
        <v>0</v>
      </c>
      <c r="N47" s="9">
        <v>0</v>
      </c>
      <c r="O47" s="9">
        <v>0</v>
      </c>
      <c r="P47" s="9"/>
      <c r="Q47" s="9">
        <v>0</v>
      </c>
      <c r="R47">
        <v>0</v>
      </c>
      <c r="S47">
        <v>0</v>
      </c>
      <c r="T47">
        <v>0</v>
      </c>
      <c r="V47">
        <v>0</v>
      </c>
    </row>
    <row r="48" spans="1:22" x14ac:dyDescent="0.25">
      <c r="A48" t="s">
        <v>115</v>
      </c>
      <c r="B48" t="s">
        <v>126</v>
      </c>
      <c r="C48">
        <v>26</v>
      </c>
      <c r="D48">
        <v>28</v>
      </c>
      <c r="E48">
        <v>29</v>
      </c>
      <c r="G48">
        <v>32</v>
      </c>
      <c r="H48">
        <v>30</v>
      </c>
      <c r="I48">
        <v>32</v>
      </c>
      <c r="J48">
        <v>33</v>
      </c>
      <c r="L48">
        <v>37</v>
      </c>
      <c r="M48" s="9">
        <v>31</v>
      </c>
      <c r="N48" s="9">
        <v>33</v>
      </c>
      <c r="O48" s="9">
        <v>34</v>
      </c>
      <c r="P48" s="9"/>
      <c r="Q48" s="9">
        <v>38</v>
      </c>
      <c r="R48">
        <v>31</v>
      </c>
      <c r="S48">
        <v>34</v>
      </c>
      <c r="T48">
        <v>35</v>
      </c>
      <c r="V48">
        <v>38</v>
      </c>
    </row>
    <row r="49" spans="1:22" x14ac:dyDescent="0.25">
      <c r="A49" t="s">
        <v>127</v>
      </c>
      <c r="B49" t="s">
        <v>128</v>
      </c>
      <c r="C49">
        <v>46</v>
      </c>
      <c r="D49">
        <v>49</v>
      </c>
      <c r="E49">
        <v>51</v>
      </c>
      <c r="G49">
        <v>56</v>
      </c>
      <c r="H49">
        <v>53</v>
      </c>
      <c r="I49">
        <v>56</v>
      </c>
      <c r="J49">
        <v>58</v>
      </c>
      <c r="L49">
        <v>64</v>
      </c>
      <c r="M49" s="9">
        <v>54</v>
      </c>
      <c r="N49" s="9">
        <v>58</v>
      </c>
      <c r="O49" s="9">
        <v>60</v>
      </c>
      <c r="P49" s="9"/>
      <c r="Q49" s="9">
        <v>66</v>
      </c>
      <c r="R49">
        <v>55</v>
      </c>
      <c r="S49">
        <v>59</v>
      </c>
      <c r="T49">
        <v>61</v>
      </c>
      <c r="V49">
        <v>67</v>
      </c>
    </row>
  </sheetData>
  <autoFilter ref="A1:O49" xr:uid="{7DBFA50F-2CCC-4152-A721-34156FAF670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BAB2-EA72-4D91-B2F1-53C892E14B2C}">
  <dimension ref="A1:V49"/>
  <sheetViews>
    <sheetView workbookViewId="0">
      <selection activeCell="G19" sqref="G19"/>
    </sheetView>
  </sheetViews>
  <sheetFormatPr defaultRowHeight="15" x14ac:dyDescent="0.25"/>
  <sheetData>
    <row r="1" spans="1:22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</row>
    <row r="2" spans="1:22" x14ac:dyDescent="0.25">
      <c r="A2" s="1">
        <v>100174</v>
      </c>
      <c r="B2" s="2" t="s">
        <v>129</v>
      </c>
      <c r="C2" s="3" t="s">
        <v>59</v>
      </c>
      <c r="D2" s="3" t="s">
        <v>91</v>
      </c>
    </row>
    <row r="3" spans="1:22" x14ac:dyDescent="0.25">
      <c r="A3" s="1">
        <v>103082</v>
      </c>
      <c r="B3" s="2" t="s">
        <v>129</v>
      </c>
      <c r="C3" s="3" t="s">
        <v>109</v>
      </c>
      <c r="D3" s="3" t="s">
        <v>110</v>
      </c>
    </row>
    <row r="4" spans="1:22" x14ac:dyDescent="0.25">
      <c r="A4" s="1">
        <v>100007</v>
      </c>
      <c r="B4" s="2" t="s">
        <v>129</v>
      </c>
      <c r="C4" s="3" t="s">
        <v>83</v>
      </c>
      <c r="D4" s="3" t="s">
        <v>84</v>
      </c>
    </row>
    <row r="5" spans="1:22" x14ac:dyDescent="0.25">
      <c r="A5" s="1">
        <v>100025</v>
      </c>
      <c r="B5" s="2" t="s">
        <v>129</v>
      </c>
      <c r="C5" s="3" t="s">
        <v>36</v>
      </c>
      <c r="D5" s="3" t="s">
        <v>100</v>
      </c>
    </row>
    <row r="6" spans="1:22" x14ac:dyDescent="0.25">
      <c r="A6" s="1">
        <v>103084</v>
      </c>
      <c r="B6" s="2" t="s">
        <v>129</v>
      </c>
      <c r="C6" s="3" t="s">
        <v>42</v>
      </c>
      <c r="D6" s="3" t="s">
        <v>43</v>
      </c>
    </row>
    <row r="7" spans="1:22" x14ac:dyDescent="0.25">
      <c r="A7" s="1">
        <v>100003</v>
      </c>
      <c r="B7" s="2" t="s">
        <v>129</v>
      </c>
      <c r="C7" s="3" t="s">
        <v>76</v>
      </c>
      <c r="D7" s="3" t="s">
        <v>77</v>
      </c>
    </row>
    <row r="8" spans="1:22" x14ac:dyDescent="0.25">
      <c r="A8" s="1">
        <v>100000</v>
      </c>
      <c r="B8" s="2" t="s">
        <v>129</v>
      </c>
      <c r="C8" s="3" t="s">
        <v>96</v>
      </c>
      <c r="D8" s="3" t="s">
        <v>97</v>
      </c>
    </row>
    <row r="9" spans="1:22" x14ac:dyDescent="0.25">
      <c r="A9" s="1">
        <v>100032</v>
      </c>
      <c r="B9" s="2" t="s">
        <v>129</v>
      </c>
      <c r="C9" s="3" t="s">
        <v>95</v>
      </c>
      <c r="D9" s="3" t="s">
        <v>113</v>
      </c>
    </row>
    <row r="10" spans="1:22" x14ac:dyDescent="0.25">
      <c r="A10" s="1">
        <v>103073</v>
      </c>
      <c r="B10" s="2" t="s">
        <v>129</v>
      </c>
      <c r="C10" s="3" t="s">
        <v>33</v>
      </c>
      <c r="D10" s="3" t="s">
        <v>44</v>
      </c>
    </row>
    <row r="11" spans="1:22" x14ac:dyDescent="0.25">
      <c r="A11" s="1">
        <v>100011</v>
      </c>
      <c r="B11" s="2" t="s">
        <v>129</v>
      </c>
      <c r="C11" s="3" t="s">
        <v>31</v>
      </c>
      <c r="D11" s="3" t="s">
        <v>74</v>
      </c>
    </row>
    <row r="12" spans="1:22" x14ac:dyDescent="0.25">
      <c r="A12" s="1">
        <v>100268</v>
      </c>
      <c r="B12" s="2" t="s">
        <v>129</v>
      </c>
      <c r="C12" s="3" t="s">
        <v>123</v>
      </c>
      <c r="D12" s="3" t="s">
        <v>124</v>
      </c>
    </row>
    <row r="13" spans="1:22" x14ac:dyDescent="0.25">
      <c r="A13" s="1">
        <v>103075</v>
      </c>
      <c r="B13" s="2" t="s">
        <v>129</v>
      </c>
      <c r="C13" s="3" t="s">
        <v>39</v>
      </c>
      <c r="D13" s="3" t="s">
        <v>111</v>
      </c>
    </row>
    <row r="14" spans="1:22" x14ac:dyDescent="0.25">
      <c r="A14" s="1">
        <v>100272</v>
      </c>
      <c r="B14" s="2" t="s">
        <v>129</v>
      </c>
      <c r="C14" s="3" t="s">
        <v>56</v>
      </c>
      <c r="D14" s="3" t="s">
        <v>104</v>
      </c>
    </row>
    <row r="15" spans="1:22" x14ac:dyDescent="0.25">
      <c r="A15" s="1">
        <v>100029</v>
      </c>
      <c r="B15" s="2" t="s">
        <v>129</v>
      </c>
      <c r="C15" s="3" t="s">
        <v>101</v>
      </c>
      <c r="D15" s="3" t="s">
        <v>102</v>
      </c>
    </row>
    <row r="16" spans="1:22" x14ac:dyDescent="0.25">
      <c r="A16" s="1">
        <v>103074</v>
      </c>
      <c r="B16" s="2" t="s">
        <v>129</v>
      </c>
      <c r="C16" s="3" t="s">
        <v>62</v>
      </c>
      <c r="D16" s="3" t="s">
        <v>75</v>
      </c>
    </row>
    <row r="17" spans="1:4" x14ac:dyDescent="0.25">
      <c r="A17" s="1">
        <v>100005</v>
      </c>
      <c r="B17" s="2" t="s">
        <v>129</v>
      </c>
      <c r="C17" s="3" t="s">
        <v>65</v>
      </c>
      <c r="D17" s="3" t="s">
        <v>112</v>
      </c>
    </row>
    <row r="18" spans="1:4" x14ac:dyDescent="0.25">
      <c r="A18" s="1">
        <v>103083</v>
      </c>
      <c r="B18" s="2" t="s">
        <v>129</v>
      </c>
      <c r="C18" s="3" t="s">
        <v>40</v>
      </c>
      <c r="D18" s="3" t="s">
        <v>48</v>
      </c>
    </row>
    <row r="19" spans="1:4" x14ac:dyDescent="0.25">
      <c r="A19" s="1">
        <v>100027</v>
      </c>
      <c r="B19" s="2" t="s">
        <v>129</v>
      </c>
      <c r="C19" s="3" t="s">
        <v>127</v>
      </c>
      <c r="D19" s="3" t="s">
        <v>128</v>
      </c>
    </row>
    <row r="20" spans="1:4" x14ac:dyDescent="0.25">
      <c r="A20" s="1">
        <v>103129</v>
      </c>
      <c r="B20" s="2" t="s">
        <v>129</v>
      </c>
      <c r="C20" s="3" t="s">
        <v>70</v>
      </c>
      <c r="D20" s="3" t="s">
        <v>106</v>
      </c>
    </row>
    <row r="21" spans="1:4" x14ac:dyDescent="0.25">
      <c r="A21" s="1">
        <v>103131</v>
      </c>
      <c r="B21" s="2" t="s">
        <v>129</v>
      </c>
      <c r="C21" s="3" t="s">
        <v>66</v>
      </c>
      <c r="D21" s="3" t="s">
        <v>88</v>
      </c>
    </row>
    <row r="22" spans="1:4" x14ac:dyDescent="0.25">
      <c r="A22" s="1">
        <v>100345</v>
      </c>
      <c r="B22" s="2" t="s">
        <v>129</v>
      </c>
      <c r="C22" s="3" t="s">
        <v>53</v>
      </c>
      <c r="D22" s="3" t="s">
        <v>38</v>
      </c>
    </row>
    <row r="23" spans="1:4" x14ac:dyDescent="0.25">
      <c r="A23" s="1">
        <v>100349</v>
      </c>
      <c r="B23" s="2" t="s">
        <v>129</v>
      </c>
      <c r="C23" s="3" t="s">
        <v>130</v>
      </c>
      <c r="D23" s="3" t="s">
        <v>68</v>
      </c>
    </row>
    <row r="24" spans="1:4" x14ac:dyDescent="0.25">
      <c r="A24" s="1">
        <v>100344</v>
      </c>
      <c r="B24" s="2" t="s">
        <v>129</v>
      </c>
      <c r="C24" s="3" t="s">
        <v>80</v>
      </c>
      <c r="D24" s="3" t="s">
        <v>86</v>
      </c>
    </row>
    <row r="25" spans="1:4" x14ac:dyDescent="0.25">
      <c r="A25" s="1">
        <v>102542</v>
      </c>
      <c r="B25" s="2" t="s">
        <v>129</v>
      </c>
      <c r="C25" s="3" t="s">
        <v>63</v>
      </c>
      <c r="D25" s="3" t="s">
        <v>103</v>
      </c>
    </row>
    <row r="26" spans="1:4" x14ac:dyDescent="0.25">
      <c r="A26" s="1">
        <v>102543</v>
      </c>
      <c r="B26" s="2" t="s">
        <v>129</v>
      </c>
      <c r="C26" s="3" t="s">
        <v>20</v>
      </c>
      <c r="D26" s="3" t="s">
        <v>51</v>
      </c>
    </row>
    <row r="27" spans="1:4" x14ac:dyDescent="0.25">
      <c r="A27" s="1">
        <v>102134</v>
      </c>
      <c r="B27" s="2" t="s">
        <v>129</v>
      </c>
      <c r="C27" s="3" t="s">
        <v>49</v>
      </c>
      <c r="D27" s="3" t="s">
        <v>73</v>
      </c>
    </row>
    <row r="28" spans="1:4" x14ac:dyDescent="0.25">
      <c r="A28" s="1">
        <v>103076</v>
      </c>
      <c r="B28" s="2" t="s">
        <v>129</v>
      </c>
      <c r="C28" s="3" t="s">
        <v>47</v>
      </c>
      <c r="D28" s="3" t="s">
        <v>120</v>
      </c>
    </row>
    <row r="29" spans="1:4" x14ac:dyDescent="0.25">
      <c r="A29" s="1">
        <v>102119</v>
      </c>
      <c r="B29" s="2" t="s">
        <v>129</v>
      </c>
      <c r="C29" s="3" t="s">
        <v>71</v>
      </c>
      <c r="D29" s="3" t="s">
        <v>72</v>
      </c>
    </row>
    <row r="30" spans="1:4" x14ac:dyDescent="0.25">
      <c r="A30" s="1">
        <v>102120</v>
      </c>
      <c r="B30" s="2" t="s">
        <v>129</v>
      </c>
      <c r="C30" s="3" t="s">
        <v>25</v>
      </c>
      <c r="D30" s="3" t="s">
        <v>122</v>
      </c>
    </row>
    <row r="31" spans="1:4" x14ac:dyDescent="0.25">
      <c r="A31" s="1">
        <v>103077</v>
      </c>
      <c r="B31" s="2" t="s">
        <v>129</v>
      </c>
      <c r="C31" s="3" t="s">
        <v>46</v>
      </c>
      <c r="D31" s="3" t="s">
        <v>69</v>
      </c>
    </row>
    <row r="32" spans="1:4" x14ac:dyDescent="0.25">
      <c r="A32" s="1">
        <v>102137</v>
      </c>
      <c r="B32" s="2" t="s">
        <v>129</v>
      </c>
      <c r="C32" s="3" t="s">
        <v>125</v>
      </c>
      <c r="D32" s="3" t="s">
        <v>93</v>
      </c>
    </row>
    <row r="33" spans="1:4" x14ac:dyDescent="0.25">
      <c r="A33" s="1">
        <v>102124</v>
      </c>
      <c r="B33" s="2" t="s">
        <v>129</v>
      </c>
      <c r="C33" s="3" t="s">
        <v>60</v>
      </c>
      <c r="D33" s="3" t="s">
        <v>78</v>
      </c>
    </row>
    <row r="34" spans="1:4" x14ac:dyDescent="0.25">
      <c r="A34" s="1">
        <v>103079</v>
      </c>
      <c r="B34" s="2" t="s">
        <v>129</v>
      </c>
      <c r="C34" s="3" t="s">
        <v>116</v>
      </c>
      <c r="D34" s="3" t="s">
        <v>117</v>
      </c>
    </row>
    <row r="35" spans="1:4" x14ac:dyDescent="0.25">
      <c r="A35" s="1">
        <v>102125</v>
      </c>
      <c r="B35" s="2" t="s">
        <v>129</v>
      </c>
      <c r="C35" s="3" t="s">
        <v>41</v>
      </c>
      <c r="D35" s="3" t="s">
        <v>64</v>
      </c>
    </row>
    <row r="36" spans="1:4" x14ac:dyDescent="0.25">
      <c r="A36" s="1">
        <v>102122</v>
      </c>
      <c r="B36" s="2" t="s">
        <v>129</v>
      </c>
      <c r="C36" s="3" t="s">
        <v>94</v>
      </c>
      <c r="D36" s="3" t="s">
        <v>82</v>
      </c>
    </row>
    <row r="37" spans="1:4" x14ac:dyDescent="0.25">
      <c r="A37" s="1">
        <v>103078</v>
      </c>
      <c r="B37" s="2" t="s">
        <v>129</v>
      </c>
      <c r="C37" s="3" t="s">
        <v>45</v>
      </c>
      <c r="D37" s="3" t="s">
        <v>107</v>
      </c>
    </row>
    <row r="38" spans="1:4" x14ac:dyDescent="0.25">
      <c r="A38" s="1">
        <v>102123</v>
      </c>
      <c r="B38" s="2" t="s">
        <v>129</v>
      </c>
      <c r="C38" s="3" t="s">
        <v>114</v>
      </c>
      <c r="D38" s="3" t="s">
        <v>99</v>
      </c>
    </row>
    <row r="39" spans="1:4" x14ac:dyDescent="0.25">
      <c r="A39" s="1">
        <v>102126</v>
      </c>
      <c r="B39" s="2" t="s">
        <v>129</v>
      </c>
      <c r="C39" s="3" t="s">
        <v>29</v>
      </c>
      <c r="D39" s="3" t="s">
        <v>26</v>
      </c>
    </row>
    <row r="40" spans="1:4" x14ac:dyDescent="0.25">
      <c r="A40" s="4">
        <v>103080</v>
      </c>
      <c r="B40" s="2" t="s">
        <v>129</v>
      </c>
      <c r="C40" s="3" t="s">
        <v>32</v>
      </c>
      <c r="D40" s="5" t="s">
        <v>121</v>
      </c>
    </row>
    <row r="41" spans="1:4" x14ac:dyDescent="0.25">
      <c r="A41" s="1">
        <v>102127</v>
      </c>
      <c r="B41" s="2" t="s">
        <v>129</v>
      </c>
      <c r="C41" s="3" t="s">
        <v>89</v>
      </c>
      <c r="D41" s="5" t="s">
        <v>90</v>
      </c>
    </row>
    <row r="42" spans="1:4" x14ac:dyDescent="0.25">
      <c r="A42" s="1">
        <v>102128</v>
      </c>
      <c r="B42" s="2" t="s">
        <v>129</v>
      </c>
      <c r="C42" s="3" t="s">
        <v>79</v>
      </c>
      <c r="D42" s="5" t="s">
        <v>55</v>
      </c>
    </row>
    <row r="43" spans="1:4" x14ac:dyDescent="0.25">
      <c r="A43" s="1">
        <v>103081</v>
      </c>
      <c r="B43" s="2" t="s">
        <v>129</v>
      </c>
      <c r="C43" s="3" t="s">
        <v>115</v>
      </c>
      <c r="D43" s="5" t="s">
        <v>126</v>
      </c>
    </row>
    <row r="44" spans="1:4" x14ac:dyDescent="0.25">
      <c r="A44" s="1">
        <v>102129</v>
      </c>
      <c r="B44" s="2" t="s">
        <v>129</v>
      </c>
      <c r="C44" s="3" t="s">
        <v>27</v>
      </c>
      <c r="D44" s="5" t="s">
        <v>28</v>
      </c>
    </row>
    <row r="45" spans="1:4" x14ac:dyDescent="0.25">
      <c r="A45" s="6">
        <v>102105</v>
      </c>
      <c r="B45" s="2" t="s">
        <v>129</v>
      </c>
      <c r="C45" s="7" t="s">
        <v>61</v>
      </c>
      <c r="D45" s="8" t="s">
        <v>118</v>
      </c>
    </row>
    <row r="46" spans="1:4" x14ac:dyDescent="0.25">
      <c r="A46" s="1">
        <v>103811</v>
      </c>
      <c r="B46" s="2" t="s">
        <v>131</v>
      </c>
      <c r="C46" s="1" t="s">
        <v>34</v>
      </c>
      <c r="D46" s="1" t="s">
        <v>35</v>
      </c>
    </row>
    <row r="47" spans="1:4" x14ac:dyDescent="0.25">
      <c r="A47" s="1">
        <v>103812</v>
      </c>
      <c r="B47" s="2" t="s">
        <v>131</v>
      </c>
      <c r="C47" s="1" t="s">
        <v>54</v>
      </c>
      <c r="D47" s="1" t="s">
        <v>24</v>
      </c>
    </row>
    <row r="48" spans="1:4" x14ac:dyDescent="0.25">
      <c r="A48" s="1">
        <v>103813</v>
      </c>
      <c r="B48" s="2" t="s">
        <v>131</v>
      </c>
      <c r="C48" s="1" t="s">
        <v>30</v>
      </c>
      <c r="D48" s="1" t="s">
        <v>58</v>
      </c>
    </row>
    <row r="49" spans="1:4" x14ac:dyDescent="0.25">
      <c r="A49" s="1">
        <v>103814</v>
      </c>
      <c r="B49" s="2" t="s">
        <v>131</v>
      </c>
      <c r="C49" s="1" t="s">
        <v>52</v>
      </c>
      <c r="D49" s="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4A1A-7CDC-41AC-A367-D17972A309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workbookViewId="0">
      <selection activeCell="B1" sqref="B1:X49"/>
    </sheetView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15</v>
      </c>
      <c r="E1" t="s">
        <v>12</v>
      </c>
      <c r="F1" t="s">
        <v>10</v>
      </c>
      <c r="G1" t="s">
        <v>4</v>
      </c>
      <c r="H1" t="s">
        <v>6</v>
      </c>
      <c r="I1" t="s">
        <v>8</v>
      </c>
      <c r="J1" t="s">
        <v>11</v>
      </c>
      <c r="K1" t="s">
        <v>9</v>
      </c>
      <c r="L1" t="s">
        <v>3</v>
      </c>
      <c r="M1" t="s">
        <v>5</v>
      </c>
      <c r="N1" t="s">
        <v>7</v>
      </c>
      <c r="O1" s="9" t="s">
        <v>11</v>
      </c>
      <c r="P1" s="9" t="s">
        <v>9</v>
      </c>
      <c r="Q1" s="9" t="s">
        <v>3</v>
      </c>
      <c r="R1" s="9" t="s">
        <v>5</v>
      </c>
      <c r="S1" s="9" t="s">
        <v>7</v>
      </c>
      <c r="T1" t="s">
        <v>11</v>
      </c>
      <c r="U1" t="s">
        <v>9</v>
      </c>
      <c r="V1" t="s">
        <v>3</v>
      </c>
      <c r="W1" t="s">
        <v>5</v>
      </c>
      <c r="X1" t="s">
        <v>7</v>
      </c>
    </row>
    <row r="2" spans="1:24" x14ac:dyDescent="0.25">
      <c r="A2" t="str">
        <f>_xlfn.XLOOKUP(B2,Sheet1!A:A,Sheet1!B:B)</f>
        <v>SVM/VM</v>
      </c>
      <c r="B2">
        <v>102129</v>
      </c>
      <c r="C2" t="s">
        <v>27</v>
      </c>
      <c r="D2" t="s">
        <v>28</v>
      </c>
      <c r="E2">
        <v>31</v>
      </c>
      <c r="F2">
        <v>33</v>
      </c>
      <c r="G2">
        <v>35</v>
      </c>
      <c r="I2">
        <v>38</v>
      </c>
      <c r="J2">
        <v>36</v>
      </c>
      <c r="K2">
        <v>38</v>
      </c>
      <c r="L2">
        <v>40</v>
      </c>
      <c r="N2">
        <v>44</v>
      </c>
      <c r="O2" s="9">
        <v>37</v>
      </c>
      <c r="P2" s="9">
        <v>39</v>
      </c>
      <c r="Q2" s="9">
        <v>41</v>
      </c>
      <c r="R2" s="9"/>
      <c r="S2" s="9">
        <v>45</v>
      </c>
      <c r="T2">
        <v>37</v>
      </c>
      <c r="U2">
        <v>40</v>
      </c>
      <c r="V2">
        <v>42</v>
      </c>
      <c r="X2">
        <v>46</v>
      </c>
    </row>
    <row r="3" spans="1:24" x14ac:dyDescent="0.25">
      <c r="A3" t="str">
        <f>_xlfn.XLOOKUP(B3,Sheet1!A:A,Sheet1!B:B)</f>
        <v>SVM/VM</v>
      </c>
      <c r="B3">
        <v>102126</v>
      </c>
      <c r="C3" t="s">
        <v>29</v>
      </c>
      <c r="D3" t="s">
        <v>26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N3">
        <v>0</v>
      </c>
      <c r="O3" s="9">
        <v>0</v>
      </c>
      <c r="P3" s="9">
        <v>0</v>
      </c>
      <c r="Q3" s="9">
        <v>0</v>
      </c>
      <c r="R3" s="9"/>
      <c r="S3" s="9">
        <v>0</v>
      </c>
      <c r="T3">
        <v>0</v>
      </c>
      <c r="U3">
        <v>0</v>
      </c>
      <c r="V3">
        <v>0</v>
      </c>
      <c r="X3">
        <v>0</v>
      </c>
    </row>
    <row r="4" spans="1:24" x14ac:dyDescent="0.25">
      <c r="A4" t="str">
        <f>_xlfn.XLOOKUP(B4,Sheet1!A:A,Sheet1!B:B)</f>
        <v>AOS</v>
      </c>
      <c r="B4">
        <v>103811</v>
      </c>
      <c r="C4" t="s">
        <v>34</v>
      </c>
      <c r="D4" t="s">
        <v>35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N4">
        <v>0</v>
      </c>
      <c r="O4" s="9">
        <v>0</v>
      </c>
      <c r="P4" s="9">
        <v>0</v>
      </c>
      <c r="Q4" s="9">
        <v>0</v>
      </c>
      <c r="R4" s="9"/>
      <c r="S4" s="9">
        <v>0</v>
      </c>
      <c r="T4">
        <v>0</v>
      </c>
      <c r="U4">
        <v>0</v>
      </c>
      <c r="V4">
        <v>0</v>
      </c>
      <c r="X4">
        <v>0</v>
      </c>
    </row>
    <row r="5" spans="1:24" x14ac:dyDescent="0.25">
      <c r="A5" t="str">
        <f>_xlfn.XLOOKUP(B5,Sheet1!A:A,Sheet1!B:B)</f>
        <v>SVM/VM</v>
      </c>
      <c r="B5">
        <v>100345</v>
      </c>
      <c r="C5" t="s">
        <v>37</v>
      </c>
      <c r="D5" t="s">
        <v>38</v>
      </c>
      <c r="E5">
        <v>45</v>
      </c>
      <c r="F5">
        <v>48</v>
      </c>
      <c r="G5">
        <v>50</v>
      </c>
      <c r="I5">
        <v>54</v>
      </c>
      <c r="J5">
        <v>52</v>
      </c>
      <c r="K5">
        <v>55</v>
      </c>
      <c r="L5">
        <v>57</v>
      </c>
      <c r="N5">
        <v>62</v>
      </c>
      <c r="O5" s="9">
        <v>53</v>
      </c>
      <c r="P5" s="9">
        <v>56</v>
      </c>
      <c r="Q5" s="9">
        <v>59</v>
      </c>
      <c r="R5" s="9"/>
      <c r="S5" s="9">
        <v>63</v>
      </c>
      <c r="T5">
        <v>54</v>
      </c>
      <c r="U5">
        <v>57</v>
      </c>
      <c r="V5">
        <v>60</v>
      </c>
      <c r="X5">
        <v>64</v>
      </c>
    </row>
    <row r="6" spans="1:24" x14ac:dyDescent="0.25">
      <c r="A6" t="str">
        <f>_xlfn.XLOOKUP(B6,Sheet1!A:A,Sheet1!B:B)</f>
        <v>SVM/VM</v>
      </c>
      <c r="B6">
        <v>103084</v>
      </c>
      <c r="C6" t="s">
        <v>42</v>
      </c>
      <c r="D6" t="s">
        <v>43</v>
      </c>
      <c r="E6">
        <v>26</v>
      </c>
      <c r="F6">
        <v>28</v>
      </c>
      <c r="G6">
        <v>29</v>
      </c>
      <c r="I6">
        <v>32</v>
      </c>
      <c r="J6">
        <v>30</v>
      </c>
      <c r="K6">
        <v>32</v>
      </c>
      <c r="L6">
        <v>33</v>
      </c>
      <c r="N6">
        <v>37</v>
      </c>
      <c r="O6" s="9">
        <v>31</v>
      </c>
      <c r="P6" s="9">
        <v>33</v>
      </c>
      <c r="Q6" s="9">
        <v>34</v>
      </c>
      <c r="R6" s="9"/>
      <c r="S6" s="9">
        <v>38</v>
      </c>
      <c r="T6">
        <v>31</v>
      </c>
      <c r="U6">
        <v>34</v>
      </c>
      <c r="V6">
        <v>35</v>
      </c>
      <c r="X6">
        <v>38</v>
      </c>
    </row>
    <row r="7" spans="1:24" x14ac:dyDescent="0.25">
      <c r="A7" t="str">
        <f>_xlfn.XLOOKUP(B7,Sheet1!A:A,Sheet1!B:B)</f>
        <v>SVM/VM</v>
      </c>
      <c r="B7">
        <v>103083</v>
      </c>
      <c r="C7" t="s">
        <v>40</v>
      </c>
      <c r="D7" t="s">
        <v>48</v>
      </c>
      <c r="E7">
        <v>41</v>
      </c>
      <c r="F7">
        <v>44</v>
      </c>
      <c r="G7">
        <v>46</v>
      </c>
      <c r="I7">
        <v>50</v>
      </c>
      <c r="J7">
        <v>47</v>
      </c>
      <c r="K7">
        <v>50</v>
      </c>
      <c r="L7">
        <v>53</v>
      </c>
      <c r="N7">
        <v>57</v>
      </c>
      <c r="O7" s="9">
        <v>48</v>
      </c>
      <c r="P7" s="9">
        <v>52</v>
      </c>
      <c r="Q7" s="9">
        <v>54</v>
      </c>
      <c r="R7" s="9"/>
      <c r="S7" s="9">
        <v>59</v>
      </c>
      <c r="T7">
        <v>49</v>
      </c>
      <c r="U7">
        <v>53</v>
      </c>
      <c r="V7">
        <v>55</v>
      </c>
      <c r="X7">
        <v>60</v>
      </c>
    </row>
    <row r="8" spans="1:24" x14ac:dyDescent="0.25">
      <c r="A8" t="str">
        <f>_xlfn.XLOOKUP(B8,Sheet1!A:A,Sheet1!B:B)</f>
        <v>SVM/VM</v>
      </c>
      <c r="B8">
        <v>102543</v>
      </c>
      <c r="C8" t="s">
        <v>50</v>
      </c>
      <c r="D8" t="s">
        <v>51</v>
      </c>
      <c r="E8">
        <v>51</v>
      </c>
      <c r="F8">
        <v>54</v>
      </c>
      <c r="G8">
        <v>57</v>
      </c>
      <c r="I8">
        <v>62</v>
      </c>
      <c r="J8">
        <v>58</v>
      </c>
      <c r="K8">
        <v>62</v>
      </c>
      <c r="L8">
        <v>65</v>
      </c>
      <c r="N8">
        <v>71</v>
      </c>
      <c r="O8" s="9">
        <v>60</v>
      </c>
      <c r="P8" s="9">
        <v>63</v>
      </c>
      <c r="Q8" s="9">
        <v>67</v>
      </c>
      <c r="R8" s="9"/>
      <c r="S8" s="9">
        <v>73</v>
      </c>
      <c r="T8">
        <v>61</v>
      </c>
      <c r="U8">
        <v>64</v>
      </c>
      <c r="V8">
        <v>68</v>
      </c>
      <c r="X8">
        <v>74</v>
      </c>
    </row>
    <row r="9" spans="1:24" x14ac:dyDescent="0.25">
      <c r="A9" t="str">
        <f>_xlfn.XLOOKUP(B9,Sheet1!A:A,Sheet1!B:B)</f>
        <v>AOS</v>
      </c>
      <c r="B9">
        <v>103813</v>
      </c>
      <c r="C9" t="s">
        <v>30</v>
      </c>
      <c r="D9" t="s">
        <v>58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L9">
        <v>0</v>
      </c>
      <c r="N9">
        <v>0</v>
      </c>
      <c r="O9" s="9">
        <v>0</v>
      </c>
      <c r="P9" s="9">
        <v>0</v>
      </c>
      <c r="Q9" s="9">
        <v>0</v>
      </c>
      <c r="R9" s="9"/>
      <c r="S9" s="9">
        <v>0</v>
      </c>
      <c r="T9">
        <v>0</v>
      </c>
      <c r="U9">
        <v>0</v>
      </c>
      <c r="V9">
        <v>0</v>
      </c>
      <c r="X9">
        <v>0</v>
      </c>
    </row>
    <row r="10" spans="1:24" x14ac:dyDescent="0.25">
      <c r="A10" t="str">
        <f>_xlfn.XLOOKUP(B10,Sheet1!A:A,Sheet1!B:B)</f>
        <v>SVM/VM</v>
      </c>
      <c r="B10">
        <v>102125</v>
      </c>
      <c r="C10" t="s">
        <v>41</v>
      </c>
      <c r="D10" t="s">
        <v>64</v>
      </c>
      <c r="E10">
        <v>31</v>
      </c>
      <c r="F10">
        <v>33</v>
      </c>
      <c r="G10">
        <v>35</v>
      </c>
      <c r="I10">
        <v>38</v>
      </c>
      <c r="J10">
        <v>36</v>
      </c>
      <c r="K10">
        <v>38</v>
      </c>
      <c r="L10">
        <v>40</v>
      </c>
      <c r="N10">
        <v>44</v>
      </c>
      <c r="O10" s="9">
        <v>37</v>
      </c>
      <c r="P10" s="9">
        <v>39</v>
      </c>
      <c r="Q10" s="9">
        <v>41</v>
      </c>
      <c r="R10" s="9"/>
      <c r="S10" s="9">
        <v>45</v>
      </c>
      <c r="T10">
        <v>37</v>
      </c>
      <c r="U10">
        <v>40</v>
      </c>
      <c r="V10">
        <v>42</v>
      </c>
      <c r="X10">
        <v>46</v>
      </c>
    </row>
    <row r="11" spans="1:24" x14ac:dyDescent="0.25">
      <c r="A11" t="str">
        <f>_xlfn.XLOOKUP(B11,Sheet1!A:A,Sheet1!B:B)</f>
        <v>SVM/VM</v>
      </c>
      <c r="B11">
        <v>100349</v>
      </c>
      <c r="C11" t="s">
        <v>67</v>
      </c>
      <c r="D11" t="s">
        <v>68</v>
      </c>
      <c r="E11">
        <v>61</v>
      </c>
      <c r="F11">
        <v>65</v>
      </c>
      <c r="G11">
        <v>68</v>
      </c>
      <c r="I11">
        <v>74</v>
      </c>
      <c r="J11">
        <v>70</v>
      </c>
      <c r="K11">
        <v>74</v>
      </c>
      <c r="L11">
        <v>78</v>
      </c>
      <c r="N11">
        <v>84</v>
      </c>
      <c r="O11" s="9">
        <v>72</v>
      </c>
      <c r="P11" s="9">
        <v>76</v>
      </c>
      <c r="Q11" s="9">
        <v>80</v>
      </c>
      <c r="R11" s="9"/>
      <c r="S11" s="9">
        <v>87</v>
      </c>
      <c r="T11">
        <v>73</v>
      </c>
      <c r="U11">
        <v>78</v>
      </c>
      <c r="V11">
        <v>81</v>
      </c>
      <c r="X11">
        <v>88</v>
      </c>
    </row>
    <row r="12" spans="1:24" x14ac:dyDescent="0.25">
      <c r="A12" t="str">
        <f>_xlfn.XLOOKUP(B12,Sheet1!A:A,Sheet1!B:B)</f>
        <v>SVM/VM</v>
      </c>
      <c r="B12">
        <v>103077</v>
      </c>
      <c r="C12" t="s">
        <v>46</v>
      </c>
      <c r="D12" t="s">
        <v>69</v>
      </c>
      <c r="E12">
        <v>26</v>
      </c>
      <c r="F12">
        <v>28</v>
      </c>
      <c r="G12">
        <v>29</v>
      </c>
      <c r="I12">
        <v>32</v>
      </c>
      <c r="J12">
        <v>30</v>
      </c>
      <c r="K12">
        <v>32</v>
      </c>
      <c r="L12">
        <v>33</v>
      </c>
      <c r="N12">
        <v>37</v>
      </c>
      <c r="O12" s="9">
        <v>31</v>
      </c>
      <c r="P12" s="9">
        <v>33</v>
      </c>
      <c r="Q12" s="9">
        <v>34</v>
      </c>
      <c r="R12" s="9"/>
      <c r="S12" s="9">
        <v>38</v>
      </c>
      <c r="T12">
        <v>31</v>
      </c>
      <c r="U12">
        <v>34</v>
      </c>
      <c r="V12">
        <v>35</v>
      </c>
      <c r="X12">
        <v>38</v>
      </c>
    </row>
    <row r="13" spans="1:24" x14ac:dyDescent="0.25">
      <c r="A13" t="str">
        <f>_xlfn.XLOOKUP(B13,Sheet1!A:A,Sheet1!B:B)</f>
        <v>SVM/VM</v>
      </c>
      <c r="B13">
        <v>102119</v>
      </c>
      <c r="C13" t="s">
        <v>71</v>
      </c>
      <c r="D13" t="s">
        <v>72</v>
      </c>
      <c r="E13">
        <v>31</v>
      </c>
      <c r="F13">
        <v>33</v>
      </c>
      <c r="G13">
        <v>35</v>
      </c>
      <c r="I13">
        <v>38</v>
      </c>
      <c r="J13">
        <v>36</v>
      </c>
      <c r="K13">
        <v>38</v>
      </c>
      <c r="L13">
        <v>40</v>
      </c>
      <c r="N13">
        <v>44</v>
      </c>
      <c r="O13" s="9">
        <v>37</v>
      </c>
      <c r="P13" s="9">
        <v>39</v>
      </c>
      <c r="Q13" s="9">
        <v>41</v>
      </c>
      <c r="R13" s="9"/>
      <c r="S13" s="9">
        <v>45</v>
      </c>
      <c r="T13">
        <v>37</v>
      </c>
      <c r="U13">
        <v>40</v>
      </c>
      <c r="V13">
        <v>42</v>
      </c>
      <c r="X13">
        <v>46</v>
      </c>
    </row>
    <row r="14" spans="1:24" x14ac:dyDescent="0.25">
      <c r="A14" t="str">
        <f>_xlfn.XLOOKUP(B14,Sheet1!A:A,Sheet1!B:B)</f>
        <v>SVM/VM</v>
      </c>
      <c r="B14">
        <v>102134</v>
      </c>
      <c r="C14" t="s">
        <v>49</v>
      </c>
      <c r="D14" t="s">
        <v>73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N14">
        <v>0</v>
      </c>
      <c r="O14" s="9">
        <v>0</v>
      </c>
      <c r="P14" s="9">
        <v>0</v>
      </c>
      <c r="Q14" s="9">
        <v>0</v>
      </c>
      <c r="R14" s="9"/>
      <c r="S14" s="9">
        <v>0</v>
      </c>
      <c r="T14">
        <v>0</v>
      </c>
      <c r="U14">
        <v>0</v>
      </c>
      <c r="V14">
        <v>0</v>
      </c>
      <c r="X14">
        <v>0</v>
      </c>
    </row>
    <row r="15" spans="1:24" x14ac:dyDescent="0.25">
      <c r="A15" t="str">
        <f>_xlfn.XLOOKUP(B15,Sheet1!A:A,Sheet1!B:B)</f>
        <v>SVM/VM</v>
      </c>
      <c r="B15">
        <v>100011</v>
      </c>
      <c r="C15" t="s">
        <v>31</v>
      </c>
      <c r="D15" t="s">
        <v>74</v>
      </c>
      <c r="E15">
        <v>31</v>
      </c>
      <c r="F15">
        <v>33</v>
      </c>
      <c r="G15">
        <v>35</v>
      </c>
      <c r="I15">
        <v>38</v>
      </c>
      <c r="J15">
        <v>36</v>
      </c>
      <c r="K15">
        <v>38</v>
      </c>
      <c r="L15">
        <v>40</v>
      </c>
      <c r="N15">
        <v>44</v>
      </c>
      <c r="O15" s="9">
        <v>37</v>
      </c>
      <c r="P15" s="9">
        <v>39</v>
      </c>
      <c r="Q15" s="9">
        <v>41</v>
      </c>
      <c r="R15" s="9"/>
      <c r="S15" s="9">
        <v>45</v>
      </c>
      <c r="T15">
        <v>37</v>
      </c>
      <c r="U15">
        <v>40</v>
      </c>
      <c r="V15">
        <v>42</v>
      </c>
      <c r="X15">
        <v>46</v>
      </c>
    </row>
    <row r="16" spans="1:24" x14ac:dyDescent="0.25">
      <c r="A16" t="str">
        <f>_xlfn.XLOOKUP(B16,Sheet1!A:A,Sheet1!B:B)</f>
        <v>SVM/VM</v>
      </c>
      <c r="B16">
        <v>103074</v>
      </c>
      <c r="C16" t="s">
        <v>62</v>
      </c>
      <c r="D16" t="s">
        <v>75</v>
      </c>
      <c r="E16">
        <v>26</v>
      </c>
      <c r="F16">
        <v>28</v>
      </c>
      <c r="G16">
        <v>29</v>
      </c>
      <c r="I16">
        <v>32</v>
      </c>
      <c r="J16">
        <v>30</v>
      </c>
      <c r="K16">
        <v>32</v>
      </c>
      <c r="L16">
        <v>33</v>
      </c>
      <c r="N16">
        <v>37</v>
      </c>
      <c r="O16" s="9">
        <v>31</v>
      </c>
      <c r="P16" s="9">
        <v>33</v>
      </c>
      <c r="Q16" s="9">
        <v>34</v>
      </c>
      <c r="R16" s="9"/>
      <c r="S16" s="9">
        <v>38</v>
      </c>
      <c r="T16">
        <v>31</v>
      </c>
      <c r="U16">
        <v>34</v>
      </c>
      <c r="V16">
        <v>35</v>
      </c>
      <c r="X16">
        <v>38</v>
      </c>
    </row>
    <row r="17" spans="1:24" x14ac:dyDescent="0.25">
      <c r="A17" t="str">
        <f>_xlfn.XLOOKUP(B17,Sheet1!A:A,Sheet1!B:B)</f>
        <v>SVM/VM</v>
      </c>
      <c r="B17">
        <v>100003</v>
      </c>
      <c r="C17" t="s">
        <v>76</v>
      </c>
      <c r="D17" t="s">
        <v>77</v>
      </c>
      <c r="E17">
        <v>31</v>
      </c>
      <c r="F17">
        <v>33</v>
      </c>
      <c r="G17">
        <v>35</v>
      </c>
      <c r="I17">
        <v>38</v>
      </c>
      <c r="J17">
        <v>36</v>
      </c>
      <c r="K17">
        <v>38</v>
      </c>
      <c r="L17">
        <v>40</v>
      </c>
      <c r="N17">
        <v>44</v>
      </c>
      <c r="O17" s="9">
        <v>37</v>
      </c>
      <c r="P17" s="9">
        <v>39</v>
      </c>
      <c r="Q17" s="9">
        <v>41</v>
      </c>
      <c r="R17" s="9"/>
      <c r="S17" s="9">
        <v>45</v>
      </c>
      <c r="T17">
        <v>37</v>
      </c>
      <c r="U17">
        <v>40</v>
      </c>
      <c r="V17">
        <v>42</v>
      </c>
      <c r="X17">
        <v>46</v>
      </c>
    </row>
    <row r="18" spans="1:24" x14ac:dyDescent="0.25">
      <c r="A18" t="str">
        <f>_xlfn.XLOOKUP(B18,Sheet1!A:A,Sheet1!B:B)</f>
        <v>SVM/VM</v>
      </c>
      <c r="B18">
        <v>102124</v>
      </c>
      <c r="C18" t="s">
        <v>60</v>
      </c>
      <c r="D18" t="s">
        <v>78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N18">
        <v>0</v>
      </c>
      <c r="O18" s="9">
        <v>0</v>
      </c>
      <c r="P18" s="9">
        <v>0</v>
      </c>
      <c r="Q18" s="9">
        <v>0</v>
      </c>
      <c r="R18" s="9"/>
      <c r="S18" s="9">
        <v>0</v>
      </c>
      <c r="T18">
        <v>0</v>
      </c>
      <c r="U18">
        <v>0</v>
      </c>
      <c r="V18">
        <v>0</v>
      </c>
      <c r="X18">
        <v>0</v>
      </c>
    </row>
    <row r="19" spans="1:24" x14ac:dyDescent="0.25">
      <c r="A19" t="str">
        <f>_xlfn.XLOOKUP(B19,Sheet1!A:A,Sheet1!B:B)</f>
        <v>SVM/VM</v>
      </c>
      <c r="B19">
        <v>102128</v>
      </c>
      <c r="C19" t="s">
        <v>79</v>
      </c>
      <c r="D19" t="s">
        <v>55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  <c r="N19">
        <v>0</v>
      </c>
      <c r="O19" s="9">
        <v>0</v>
      </c>
      <c r="P19" s="9">
        <v>0</v>
      </c>
      <c r="Q19" s="9">
        <v>0</v>
      </c>
      <c r="R19" s="9"/>
      <c r="S19" s="9">
        <v>0</v>
      </c>
      <c r="T19">
        <v>0</v>
      </c>
      <c r="U19">
        <v>0</v>
      </c>
      <c r="V19">
        <v>0</v>
      </c>
      <c r="X19">
        <v>0</v>
      </c>
    </row>
    <row r="20" spans="1:24" x14ac:dyDescent="0.25">
      <c r="A20" t="str">
        <f>_xlfn.XLOOKUP(B20,Sheet1!A:A,Sheet1!B:B)</f>
        <v>SVM/VM</v>
      </c>
      <c r="B20">
        <v>102122</v>
      </c>
      <c r="C20" t="s">
        <v>81</v>
      </c>
      <c r="D20" t="s">
        <v>82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N20">
        <v>0</v>
      </c>
      <c r="O20" s="9">
        <v>0</v>
      </c>
      <c r="P20" s="9">
        <v>0</v>
      </c>
      <c r="Q20" s="9">
        <v>0</v>
      </c>
      <c r="R20" s="9"/>
      <c r="S20" s="9">
        <v>0</v>
      </c>
      <c r="T20">
        <v>0</v>
      </c>
      <c r="U20">
        <v>0</v>
      </c>
      <c r="V20">
        <v>0</v>
      </c>
      <c r="X20">
        <v>0</v>
      </c>
    </row>
    <row r="21" spans="1:24" x14ac:dyDescent="0.25">
      <c r="A21" t="str">
        <f>_xlfn.XLOOKUP(B21,Sheet1!A:A,Sheet1!B:B)</f>
        <v>SVM/VM</v>
      </c>
      <c r="B21">
        <v>100007</v>
      </c>
      <c r="C21" t="s">
        <v>83</v>
      </c>
      <c r="D21" t="s">
        <v>84</v>
      </c>
      <c r="E21">
        <v>46</v>
      </c>
      <c r="F21">
        <v>49</v>
      </c>
      <c r="G21">
        <v>51</v>
      </c>
      <c r="I21">
        <v>56</v>
      </c>
      <c r="J21">
        <v>53</v>
      </c>
      <c r="K21">
        <v>56</v>
      </c>
      <c r="L21">
        <v>58</v>
      </c>
      <c r="N21">
        <v>64</v>
      </c>
      <c r="O21" s="9">
        <v>54</v>
      </c>
      <c r="P21" s="9">
        <v>58</v>
      </c>
      <c r="Q21" s="9">
        <v>60</v>
      </c>
      <c r="R21" s="9"/>
      <c r="S21" s="9">
        <v>66</v>
      </c>
      <c r="T21">
        <v>55</v>
      </c>
      <c r="U21">
        <v>59</v>
      </c>
      <c r="V21">
        <v>61</v>
      </c>
      <c r="X21">
        <v>67</v>
      </c>
    </row>
    <row r="22" spans="1:24" x14ac:dyDescent="0.25">
      <c r="A22" t="str">
        <f>_xlfn.XLOOKUP(B22,Sheet1!A:A,Sheet1!B:B)</f>
        <v>SVM/VM</v>
      </c>
      <c r="B22">
        <v>100344</v>
      </c>
      <c r="C22" t="s">
        <v>85</v>
      </c>
      <c r="D22" t="s">
        <v>86</v>
      </c>
      <c r="E22">
        <v>52</v>
      </c>
      <c r="F22">
        <v>55</v>
      </c>
      <c r="G22">
        <v>58</v>
      </c>
      <c r="I22">
        <v>63</v>
      </c>
      <c r="J22">
        <v>60</v>
      </c>
      <c r="K22">
        <v>63</v>
      </c>
      <c r="L22">
        <v>66</v>
      </c>
      <c r="N22">
        <v>72</v>
      </c>
      <c r="O22" s="9">
        <v>61</v>
      </c>
      <c r="P22" s="9">
        <v>65</v>
      </c>
      <c r="Q22" s="9">
        <v>68</v>
      </c>
      <c r="R22" s="9"/>
      <c r="S22" s="9">
        <v>74</v>
      </c>
      <c r="T22">
        <v>62</v>
      </c>
      <c r="U22">
        <v>66</v>
      </c>
      <c r="V22">
        <v>69</v>
      </c>
      <c r="X22">
        <v>75</v>
      </c>
    </row>
    <row r="23" spans="1:24" x14ac:dyDescent="0.25">
      <c r="A23" t="str">
        <f>_xlfn.XLOOKUP(B23,Sheet1!A:A,Sheet1!B:B)</f>
        <v>SVM/VM</v>
      </c>
      <c r="B23">
        <v>103131</v>
      </c>
      <c r="C23" t="s">
        <v>87</v>
      </c>
      <c r="D23" t="s">
        <v>88</v>
      </c>
      <c r="E23">
        <v>46</v>
      </c>
      <c r="F23">
        <v>49</v>
      </c>
      <c r="G23">
        <v>51</v>
      </c>
      <c r="I23">
        <v>56</v>
      </c>
      <c r="J23">
        <v>53</v>
      </c>
      <c r="K23">
        <v>56</v>
      </c>
      <c r="L23">
        <v>58</v>
      </c>
      <c r="N23">
        <v>64</v>
      </c>
      <c r="O23" s="9">
        <v>54</v>
      </c>
      <c r="P23" s="9">
        <v>58</v>
      </c>
      <c r="Q23" s="9">
        <v>60</v>
      </c>
      <c r="R23" s="9"/>
      <c r="S23" s="9">
        <v>66</v>
      </c>
      <c r="T23">
        <v>55</v>
      </c>
      <c r="U23">
        <v>59</v>
      </c>
      <c r="V23">
        <v>61</v>
      </c>
      <c r="X23">
        <v>67</v>
      </c>
    </row>
    <row r="24" spans="1:24" x14ac:dyDescent="0.25">
      <c r="A24" t="str">
        <f>_xlfn.XLOOKUP(B24,Sheet1!A:A,Sheet1!B:B)</f>
        <v>SVM/VM</v>
      </c>
      <c r="B24">
        <v>102127</v>
      </c>
      <c r="C24" t="s">
        <v>89</v>
      </c>
      <c r="D24" t="s">
        <v>90</v>
      </c>
      <c r="E24">
        <v>31</v>
      </c>
      <c r="F24">
        <v>33</v>
      </c>
      <c r="G24">
        <v>35</v>
      </c>
      <c r="I24">
        <v>38</v>
      </c>
      <c r="J24">
        <v>36</v>
      </c>
      <c r="K24">
        <v>38</v>
      </c>
      <c r="L24">
        <v>40</v>
      </c>
      <c r="N24">
        <v>44</v>
      </c>
      <c r="O24" s="9">
        <v>37</v>
      </c>
      <c r="P24" s="9">
        <v>39</v>
      </c>
      <c r="Q24" s="9">
        <v>41</v>
      </c>
      <c r="R24" s="9"/>
      <c r="S24" s="9">
        <v>45</v>
      </c>
      <c r="T24">
        <v>37</v>
      </c>
      <c r="U24">
        <v>40</v>
      </c>
      <c r="V24">
        <v>42</v>
      </c>
      <c r="X24">
        <v>46</v>
      </c>
    </row>
    <row r="25" spans="1:24" x14ac:dyDescent="0.25">
      <c r="A25" t="str">
        <f>_xlfn.XLOOKUP(B25,Sheet1!A:A,Sheet1!B:B)</f>
        <v>SVM/VM</v>
      </c>
      <c r="B25">
        <v>100174</v>
      </c>
      <c r="C25" t="s">
        <v>59</v>
      </c>
      <c r="D25" t="s">
        <v>91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N25">
        <v>0</v>
      </c>
      <c r="O25" s="9">
        <v>0</v>
      </c>
      <c r="P25" s="9">
        <v>0</v>
      </c>
      <c r="Q25" s="9">
        <v>0</v>
      </c>
      <c r="R25" s="9"/>
      <c r="S25" s="9">
        <v>0</v>
      </c>
      <c r="T25">
        <v>0</v>
      </c>
      <c r="U25">
        <v>0</v>
      </c>
      <c r="V25">
        <v>0</v>
      </c>
      <c r="X25">
        <v>0</v>
      </c>
    </row>
    <row r="26" spans="1:24" x14ac:dyDescent="0.25">
      <c r="A26" t="str">
        <f>_xlfn.XLOOKUP(B26,Sheet1!A:A,Sheet1!B:B)</f>
        <v>SVM/VM</v>
      </c>
      <c r="B26">
        <v>102137</v>
      </c>
      <c r="C26" t="s">
        <v>92</v>
      </c>
      <c r="D26" t="s">
        <v>93</v>
      </c>
      <c r="E26">
        <v>31</v>
      </c>
      <c r="F26">
        <v>33</v>
      </c>
      <c r="G26">
        <v>35</v>
      </c>
      <c r="I26">
        <v>38</v>
      </c>
      <c r="J26">
        <v>36</v>
      </c>
      <c r="K26">
        <v>38</v>
      </c>
      <c r="L26">
        <v>40</v>
      </c>
      <c r="N26">
        <v>44</v>
      </c>
      <c r="O26" s="9">
        <v>37</v>
      </c>
      <c r="P26" s="9">
        <v>39</v>
      </c>
      <c r="Q26" s="9">
        <v>41</v>
      </c>
      <c r="R26" s="9"/>
      <c r="S26" s="9">
        <v>45</v>
      </c>
      <c r="T26">
        <v>37</v>
      </c>
      <c r="U26">
        <v>40</v>
      </c>
      <c r="V26">
        <v>42</v>
      </c>
      <c r="X26">
        <v>46</v>
      </c>
    </row>
    <row r="27" spans="1:24" x14ac:dyDescent="0.25">
      <c r="A27" t="str">
        <f>_xlfn.XLOOKUP(B27,Sheet1!A:A,Sheet1!B:B)</f>
        <v>SVM/VM</v>
      </c>
      <c r="B27">
        <v>100000</v>
      </c>
      <c r="C27" t="s">
        <v>96</v>
      </c>
      <c r="D27" t="s">
        <v>97</v>
      </c>
      <c r="E27">
        <v>37</v>
      </c>
      <c r="F27">
        <v>39</v>
      </c>
      <c r="G27">
        <v>41</v>
      </c>
      <c r="I27">
        <v>45</v>
      </c>
      <c r="J27">
        <v>42</v>
      </c>
      <c r="K27">
        <v>45</v>
      </c>
      <c r="L27">
        <v>47</v>
      </c>
      <c r="N27">
        <v>52</v>
      </c>
      <c r="O27" s="9">
        <v>44</v>
      </c>
      <c r="P27" s="9">
        <v>46</v>
      </c>
      <c r="Q27" s="9">
        <v>48</v>
      </c>
      <c r="R27" s="9"/>
      <c r="S27" s="9">
        <v>53</v>
      </c>
      <c r="T27">
        <v>44</v>
      </c>
      <c r="U27">
        <v>47</v>
      </c>
      <c r="V27">
        <v>49</v>
      </c>
      <c r="X27">
        <v>54</v>
      </c>
    </row>
    <row r="28" spans="1:24" x14ac:dyDescent="0.25">
      <c r="A28" t="str">
        <f>_xlfn.XLOOKUP(B28,Sheet1!A:A,Sheet1!B:B)</f>
        <v>SVM/VM</v>
      </c>
      <c r="B28">
        <v>102123</v>
      </c>
      <c r="C28" t="s">
        <v>98</v>
      </c>
      <c r="D28" t="s">
        <v>99</v>
      </c>
      <c r="E28">
        <v>31</v>
      </c>
      <c r="F28">
        <v>33</v>
      </c>
      <c r="G28">
        <v>35</v>
      </c>
      <c r="I28">
        <v>38</v>
      </c>
      <c r="J28">
        <v>36</v>
      </c>
      <c r="K28">
        <v>38</v>
      </c>
      <c r="L28">
        <v>40</v>
      </c>
      <c r="N28">
        <v>44</v>
      </c>
      <c r="O28" s="9">
        <v>37</v>
      </c>
      <c r="P28" s="9">
        <v>39</v>
      </c>
      <c r="Q28" s="9">
        <v>41</v>
      </c>
      <c r="R28" s="9"/>
      <c r="S28" s="9">
        <v>45</v>
      </c>
      <c r="T28">
        <v>37</v>
      </c>
      <c r="U28">
        <v>40</v>
      </c>
      <c r="V28">
        <v>42</v>
      </c>
      <c r="X28">
        <v>46</v>
      </c>
    </row>
    <row r="29" spans="1:24" x14ac:dyDescent="0.25">
      <c r="A29" t="str">
        <f>_xlfn.XLOOKUP(B29,Sheet1!A:A,Sheet1!B:B)</f>
        <v>SVM/VM</v>
      </c>
      <c r="B29">
        <v>100025</v>
      </c>
      <c r="C29" t="s">
        <v>36</v>
      </c>
      <c r="D29" t="s">
        <v>100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N29">
        <v>0</v>
      </c>
      <c r="O29" s="9">
        <v>0</v>
      </c>
      <c r="P29" s="9">
        <v>0</v>
      </c>
      <c r="Q29" s="9">
        <v>0</v>
      </c>
      <c r="R29" s="9"/>
      <c r="S29" s="9">
        <v>0</v>
      </c>
      <c r="T29">
        <v>0</v>
      </c>
      <c r="U29">
        <v>0</v>
      </c>
      <c r="V29">
        <v>0</v>
      </c>
      <c r="X29">
        <v>0</v>
      </c>
    </row>
    <row r="30" spans="1:24" x14ac:dyDescent="0.25">
      <c r="A30" t="str">
        <f>_xlfn.XLOOKUP(B30,Sheet1!A:A,Sheet1!B:B)</f>
        <v>SVM/VM</v>
      </c>
      <c r="B30">
        <v>100029</v>
      </c>
      <c r="C30" t="s">
        <v>101</v>
      </c>
      <c r="D30" t="s">
        <v>102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N30">
        <v>0</v>
      </c>
      <c r="O30" s="9">
        <v>0</v>
      </c>
      <c r="P30" s="9">
        <v>0</v>
      </c>
      <c r="Q30" s="9">
        <v>0</v>
      </c>
      <c r="R30" s="9"/>
      <c r="S30" s="9">
        <v>0</v>
      </c>
      <c r="T30">
        <v>0</v>
      </c>
      <c r="U30">
        <v>0</v>
      </c>
      <c r="V30">
        <v>0</v>
      </c>
      <c r="X30">
        <v>0</v>
      </c>
    </row>
    <row r="31" spans="1:24" x14ac:dyDescent="0.25">
      <c r="A31" t="str">
        <f>_xlfn.XLOOKUP(B31,Sheet1!A:A,Sheet1!B:B)</f>
        <v>SVM/VM</v>
      </c>
      <c r="B31">
        <v>102542</v>
      </c>
      <c r="C31" t="s">
        <v>57</v>
      </c>
      <c r="D31" t="s">
        <v>103</v>
      </c>
      <c r="E31">
        <v>30</v>
      </c>
      <c r="F31">
        <v>32</v>
      </c>
      <c r="G31">
        <v>33</v>
      </c>
      <c r="I31">
        <v>36</v>
      </c>
      <c r="J31">
        <v>35</v>
      </c>
      <c r="K31">
        <v>37</v>
      </c>
      <c r="L31">
        <v>38</v>
      </c>
      <c r="N31">
        <v>41</v>
      </c>
      <c r="O31" s="9">
        <v>35</v>
      </c>
      <c r="P31" s="9">
        <v>38</v>
      </c>
      <c r="Q31" s="9">
        <v>39</v>
      </c>
      <c r="R31" s="9"/>
      <c r="S31" s="9">
        <v>42</v>
      </c>
      <c r="T31">
        <v>36</v>
      </c>
      <c r="U31">
        <v>38</v>
      </c>
      <c r="V31">
        <v>40</v>
      </c>
      <c r="X31">
        <v>43</v>
      </c>
    </row>
    <row r="32" spans="1:24" x14ac:dyDescent="0.25">
      <c r="A32" t="str">
        <f>_xlfn.XLOOKUP(B32,Sheet1!A:A,Sheet1!B:B)</f>
        <v>SVM/VM</v>
      </c>
      <c r="B32">
        <v>100272</v>
      </c>
      <c r="C32" t="s">
        <v>56</v>
      </c>
      <c r="D32" t="s">
        <v>104</v>
      </c>
      <c r="E32">
        <v>31</v>
      </c>
      <c r="F32">
        <v>33</v>
      </c>
      <c r="G32">
        <v>35</v>
      </c>
      <c r="I32">
        <v>38</v>
      </c>
      <c r="J32">
        <v>36</v>
      </c>
      <c r="K32">
        <v>38</v>
      </c>
      <c r="L32">
        <v>40</v>
      </c>
      <c r="N32">
        <v>44</v>
      </c>
      <c r="O32" s="9">
        <v>37</v>
      </c>
      <c r="P32" s="9">
        <v>39</v>
      </c>
      <c r="Q32" s="9">
        <v>41</v>
      </c>
      <c r="R32" s="9"/>
      <c r="S32" s="9">
        <v>45</v>
      </c>
      <c r="T32">
        <v>37</v>
      </c>
      <c r="U32">
        <v>40</v>
      </c>
      <c r="V32">
        <v>42</v>
      </c>
      <c r="X32">
        <v>46</v>
      </c>
    </row>
    <row r="33" spans="1:24" x14ac:dyDescent="0.25">
      <c r="A33" t="str">
        <f>_xlfn.XLOOKUP(B33,Sheet1!A:A,Sheet1!B:B)</f>
        <v>SVM/VM</v>
      </c>
      <c r="B33">
        <v>103129</v>
      </c>
      <c r="C33" t="s">
        <v>105</v>
      </c>
      <c r="D33" t="s">
        <v>106</v>
      </c>
      <c r="E33">
        <v>41</v>
      </c>
      <c r="F33">
        <v>44</v>
      </c>
      <c r="G33">
        <v>46</v>
      </c>
      <c r="I33">
        <v>50</v>
      </c>
      <c r="J33">
        <v>47</v>
      </c>
      <c r="K33">
        <v>50</v>
      </c>
      <c r="L33">
        <v>53</v>
      </c>
      <c r="N33">
        <v>57</v>
      </c>
      <c r="O33" s="9">
        <v>48</v>
      </c>
      <c r="P33" s="9">
        <v>52</v>
      </c>
      <c r="Q33" s="9">
        <v>54</v>
      </c>
      <c r="R33" s="9"/>
      <c r="S33" s="9">
        <v>59</v>
      </c>
      <c r="T33">
        <v>49</v>
      </c>
      <c r="U33">
        <v>53</v>
      </c>
      <c r="V33">
        <v>55</v>
      </c>
      <c r="X33">
        <v>60</v>
      </c>
    </row>
    <row r="34" spans="1:24" x14ac:dyDescent="0.25">
      <c r="A34" t="str">
        <f>_xlfn.XLOOKUP(B34,Sheet1!A:A,Sheet1!B:B)</f>
        <v>SVM/VM</v>
      </c>
      <c r="B34">
        <v>103078</v>
      </c>
      <c r="C34" t="s">
        <v>45</v>
      </c>
      <c r="D34" t="s">
        <v>107</v>
      </c>
      <c r="E34">
        <v>26</v>
      </c>
      <c r="F34">
        <v>28</v>
      </c>
      <c r="G34">
        <v>29</v>
      </c>
      <c r="I34">
        <v>32</v>
      </c>
      <c r="J34">
        <v>30</v>
      </c>
      <c r="K34">
        <v>32</v>
      </c>
      <c r="L34">
        <v>33</v>
      </c>
      <c r="N34">
        <v>37</v>
      </c>
      <c r="O34" s="9">
        <v>31</v>
      </c>
      <c r="P34" s="9">
        <v>33</v>
      </c>
      <c r="Q34" s="9">
        <v>34</v>
      </c>
      <c r="R34" s="9"/>
      <c r="S34" s="9">
        <v>38</v>
      </c>
      <c r="T34">
        <v>31</v>
      </c>
      <c r="U34">
        <v>34</v>
      </c>
      <c r="V34">
        <v>35</v>
      </c>
      <c r="X34">
        <v>38</v>
      </c>
    </row>
    <row r="35" spans="1:24" x14ac:dyDescent="0.25">
      <c r="A35" t="str">
        <f>_xlfn.XLOOKUP(B35,Sheet1!A:A,Sheet1!B:B)</f>
        <v>AOS</v>
      </c>
      <c r="B35">
        <v>103814</v>
      </c>
      <c r="C35" t="s">
        <v>52</v>
      </c>
      <c r="D35" t="s">
        <v>108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L35">
        <v>0</v>
      </c>
      <c r="N35">
        <v>0</v>
      </c>
      <c r="O35" s="9">
        <v>0</v>
      </c>
      <c r="P35" s="9">
        <v>0</v>
      </c>
      <c r="Q35" s="9">
        <v>0</v>
      </c>
      <c r="R35" s="9"/>
      <c r="S35" s="9">
        <v>0</v>
      </c>
      <c r="T35">
        <v>0</v>
      </c>
      <c r="U35">
        <v>0</v>
      </c>
      <c r="V35">
        <v>0</v>
      </c>
      <c r="X35">
        <v>0</v>
      </c>
    </row>
    <row r="36" spans="1:24" x14ac:dyDescent="0.25">
      <c r="A36" t="str">
        <f>_xlfn.XLOOKUP(B36,Sheet1!A:A,Sheet1!B:B)</f>
        <v>SVM/VM</v>
      </c>
      <c r="B36">
        <v>103082</v>
      </c>
      <c r="C36" t="s">
        <v>109</v>
      </c>
      <c r="D36" t="s">
        <v>110</v>
      </c>
      <c r="E36">
        <v>41</v>
      </c>
      <c r="F36">
        <v>44</v>
      </c>
      <c r="G36">
        <v>46</v>
      </c>
      <c r="I36">
        <v>50</v>
      </c>
      <c r="J36">
        <v>47</v>
      </c>
      <c r="K36">
        <v>50</v>
      </c>
      <c r="L36">
        <v>53</v>
      </c>
      <c r="N36">
        <v>57</v>
      </c>
      <c r="O36" s="9">
        <v>48</v>
      </c>
      <c r="P36" s="9">
        <v>52</v>
      </c>
      <c r="Q36" s="9">
        <v>54</v>
      </c>
      <c r="R36" s="9"/>
      <c r="S36" s="9">
        <v>59</v>
      </c>
      <c r="T36">
        <v>49</v>
      </c>
      <c r="U36">
        <v>53</v>
      </c>
      <c r="V36">
        <v>55</v>
      </c>
      <c r="X36">
        <v>60</v>
      </c>
    </row>
    <row r="37" spans="1:24" x14ac:dyDescent="0.25">
      <c r="A37" t="str">
        <f>_xlfn.XLOOKUP(B37,Sheet1!A:A,Sheet1!B:B)</f>
        <v>SVM/VM</v>
      </c>
      <c r="B37">
        <v>103075</v>
      </c>
      <c r="C37" t="s">
        <v>39</v>
      </c>
      <c r="D37" t="s">
        <v>111</v>
      </c>
      <c r="E37">
        <v>26</v>
      </c>
      <c r="F37">
        <v>28</v>
      </c>
      <c r="G37">
        <v>29</v>
      </c>
      <c r="I37">
        <v>32</v>
      </c>
      <c r="J37">
        <v>30</v>
      </c>
      <c r="K37">
        <v>32</v>
      </c>
      <c r="L37">
        <v>33</v>
      </c>
      <c r="N37">
        <v>37</v>
      </c>
      <c r="O37" s="9">
        <v>31</v>
      </c>
      <c r="P37" s="9">
        <v>33</v>
      </c>
      <c r="Q37" s="9">
        <v>34</v>
      </c>
      <c r="R37" s="9"/>
      <c r="S37" s="9">
        <v>38</v>
      </c>
      <c r="T37">
        <v>31</v>
      </c>
      <c r="U37">
        <v>34</v>
      </c>
      <c r="V37">
        <v>35</v>
      </c>
      <c r="X37">
        <v>38</v>
      </c>
    </row>
    <row r="38" spans="1:24" x14ac:dyDescent="0.25">
      <c r="A38" t="str">
        <f>_xlfn.XLOOKUP(B38,Sheet1!A:A,Sheet1!B:B)</f>
        <v>SVM/VM</v>
      </c>
      <c r="B38">
        <v>100005</v>
      </c>
      <c r="C38" t="s">
        <v>65</v>
      </c>
      <c r="D38" t="s">
        <v>112</v>
      </c>
      <c r="E38">
        <v>31</v>
      </c>
      <c r="F38">
        <v>33</v>
      </c>
      <c r="G38">
        <v>35</v>
      </c>
      <c r="I38">
        <v>38</v>
      </c>
      <c r="J38">
        <v>36</v>
      </c>
      <c r="K38">
        <v>38</v>
      </c>
      <c r="L38">
        <v>40</v>
      </c>
      <c r="N38">
        <v>44</v>
      </c>
      <c r="O38" s="9">
        <v>37</v>
      </c>
      <c r="P38" s="9">
        <v>39</v>
      </c>
      <c r="Q38" s="9">
        <v>41</v>
      </c>
      <c r="R38" s="9"/>
      <c r="S38" s="9">
        <v>45</v>
      </c>
      <c r="T38">
        <v>37</v>
      </c>
      <c r="U38">
        <v>40</v>
      </c>
      <c r="V38">
        <v>42</v>
      </c>
      <c r="X38">
        <v>46</v>
      </c>
    </row>
    <row r="39" spans="1:24" x14ac:dyDescent="0.25">
      <c r="A39" t="str">
        <f>_xlfn.XLOOKUP(B39,Sheet1!A:A,Sheet1!B:B)</f>
        <v>SVM/VM</v>
      </c>
      <c r="B39">
        <v>100032</v>
      </c>
      <c r="C39" t="s">
        <v>95</v>
      </c>
      <c r="D39" t="s">
        <v>113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L39">
        <v>0</v>
      </c>
      <c r="N39">
        <v>0</v>
      </c>
      <c r="O39" s="9">
        <v>0</v>
      </c>
      <c r="P39" s="9">
        <v>0</v>
      </c>
      <c r="Q39" s="9">
        <v>0</v>
      </c>
      <c r="R39" s="9"/>
      <c r="S39" s="9">
        <v>0</v>
      </c>
      <c r="T39">
        <v>0</v>
      </c>
      <c r="U39">
        <v>0</v>
      </c>
      <c r="V39">
        <v>0</v>
      </c>
      <c r="X39">
        <v>0</v>
      </c>
    </row>
    <row r="40" spans="1:24" x14ac:dyDescent="0.25">
      <c r="A40" t="str">
        <f>_xlfn.XLOOKUP(B40,Sheet1!A:A,Sheet1!B:B)</f>
        <v>AOS</v>
      </c>
      <c r="B40">
        <v>103812</v>
      </c>
      <c r="C40" t="s">
        <v>54</v>
      </c>
      <c r="D40" t="s">
        <v>24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L40">
        <v>0</v>
      </c>
      <c r="N40">
        <v>0</v>
      </c>
      <c r="O40" s="9">
        <v>0</v>
      </c>
      <c r="P40" s="9">
        <v>0</v>
      </c>
      <c r="Q40" s="9">
        <v>0</v>
      </c>
      <c r="R40" s="9"/>
      <c r="S40" s="9">
        <v>0</v>
      </c>
      <c r="T40">
        <v>0</v>
      </c>
      <c r="U40">
        <v>0</v>
      </c>
      <c r="V40">
        <v>0</v>
      </c>
      <c r="X40">
        <v>0</v>
      </c>
    </row>
    <row r="41" spans="1:24" x14ac:dyDescent="0.25">
      <c r="A41" t="str">
        <f>_xlfn.XLOOKUP(B41,Sheet1!A:A,Sheet1!B:B)</f>
        <v>SVM/VM</v>
      </c>
      <c r="B41">
        <v>103079</v>
      </c>
      <c r="C41" t="s">
        <v>116</v>
      </c>
      <c r="D41" t="s">
        <v>117</v>
      </c>
      <c r="E41">
        <v>26</v>
      </c>
      <c r="F41">
        <v>28</v>
      </c>
      <c r="G41">
        <v>29</v>
      </c>
      <c r="I41">
        <v>32</v>
      </c>
      <c r="J41">
        <v>30</v>
      </c>
      <c r="K41">
        <v>32</v>
      </c>
      <c r="L41">
        <v>33</v>
      </c>
      <c r="N41">
        <v>37</v>
      </c>
      <c r="O41" s="9">
        <v>31</v>
      </c>
      <c r="P41" s="9">
        <v>33</v>
      </c>
      <c r="Q41" s="9">
        <v>34</v>
      </c>
      <c r="R41" s="9"/>
      <c r="S41" s="9">
        <v>38</v>
      </c>
      <c r="T41">
        <v>31</v>
      </c>
      <c r="U41">
        <v>34</v>
      </c>
      <c r="V41">
        <v>35</v>
      </c>
      <c r="X41">
        <v>38</v>
      </c>
    </row>
    <row r="42" spans="1:24" x14ac:dyDescent="0.25">
      <c r="A42" t="str">
        <f>_xlfn.XLOOKUP(B42,Sheet1!A:A,Sheet1!B:B)</f>
        <v>SVM/VM</v>
      </c>
      <c r="B42">
        <v>102105</v>
      </c>
      <c r="C42" t="s">
        <v>61</v>
      </c>
      <c r="D42" t="s">
        <v>118</v>
      </c>
      <c r="E42">
        <v>33</v>
      </c>
      <c r="F42">
        <v>35</v>
      </c>
      <c r="G42">
        <v>37</v>
      </c>
      <c r="I42">
        <v>40</v>
      </c>
      <c r="J42">
        <v>37</v>
      </c>
      <c r="K42">
        <v>39</v>
      </c>
      <c r="L42">
        <v>41</v>
      </c>
      <c r="N42">
        <v>44</v>
      </c>
      <c r="O42" s="9">
        <v>39</v>
      </c>
      <c r="P42" s="9">
        <v>41</v>
      </c>
      <c r="Q42" s="9">
        <v>44</v>
      </c>
      <c r="R42" s="9"/>
      <c r="S42" s="9">
        <v>47</v>
      </c>
      <c r="T42">
        <v>40</v>
      </c>
      <c r="U42">
        <v>42</v>
      </c>
      <c r="V42">
        <v>44</v>
      </c>
      <c r="X42">
        <v>48</v>
      </c>
    </row>
    <row r="43" spans="1:24" x14ac:dyDescent="0.25">
      <c r="A43" t="str">
        <f>_xlfn.XLOOKUP(B43,Sheet1!A:A,Sheet1!B:B)</f>
        <v>SVM/VM</v>
      </c>
      <c r="B43">
        <v>103073</v>
      </c>
      <c r="C43" t="s">
        <v>119</v>
      </c>
      <c r="D43" t="s">
        <v>44</v>
      </c>
      <c r="E43">
        <v>26</v>
      </c>
      <c r="F43">
        <v>28</v>
      </c>
      <c r="G43">
        <v>29</v>
      </c>
      <c r="I43">
        <v>32</v>
      </c>
      <c r="J43">
        <v>30</v>
      </c>
      <c r="K43">
        <v>32</v>
      </c>
      <c r="L43">
        <v>33</v>
      </c>
      <c r="N43">
        <v>37</v>
      </c>
      <c r="O43" s="9">
        <v>31</v>
      </c>
      <c r="P43" s="9">
        <v>33</v>
      </c>
      <c r="Q43" s="9">
        <v>34</v>
      </c>
      <c r="R43" s="9"/>
      <c r="S43" s="9">
        <v>38</v>
      </c>
      <c r="T43">
        <v>31</v>
      </c>
      <c r="U43">
        <v>34</v>
      </c>
      <c r="V43">
        <v>35</v>
      </c>
      <c r="X43">
        <v>38</v>
      </c>
    </row>
    <row r="44" spans="1:24" x14ac:dyDescent="0.25">
      <c r="A44" t="str">
        <f>_xlfn.XLOOKUP(B44,Sheet1!A:A,Sheet1!B:B)</f>
        <v>SVM/VM</v>
      </c>
      <c r="B44">
        <v>103076</v>
      </c>
      <c r="C44" t="s">
        <v>47</v>
      </c>
      <c r="D44" t="s">
        <v>120</v>
      </c>
      <c r="E44">
        <v>26</v>
      </c>
      <c r="F44">
        <v>28</v>
      </c>
      <c r="G44">
        <v>29</v>
      </c>
      <c r="I44">
        <v>32</v>
      </c>
      <c r="J44">
        <v>30</v>
      </c>
      <c r="K44">
        <v>32</v>
      </c>
      <c r="L44">
        <v>33</v>
      </c>
      <c r="N44">
        <v>37</v>
      </c>
      <c r="O44" s="9">
        <v>31</v>
      </c>
      <c r="P44" s="9">
        <v>33</v>
      </c>
      <c r="Q44" s="9">
        <v>34</v>
      </c>
      <c r="R44" s="9"/>
      <c r="S44" s="9">
        <v>38</v>
      </c>
      <c r="T44">
        <v>31</v>
      </c>
      <c r="U44">
        <v>34</v>
      </c>
      <c r="V44">
        <v>35</v>
      </c>
      <c r="X44">
        <v>38</v>
      </c>
    </row>
    <row r="45" spans="1:24" x14ac:dyDescent="0.25">
      <c r="A45" t="str">
        <f>_xlfn.XLOOKUP(B45,Sheet1!A:A,Sheet1!B:B)</f>
        <v>SVM/VM</v>
      </c>
      <c r="B45">
        <v>103080</v>
      </c>
      <c r="C45" t="s">
        <v>32</v>
      </c>
      <c r="D45" t="s">
        <v>121</v>
      </c>
      <c r="E45">
        <v>26</v>
      </c>
      <c r="F45">
        <v>28</v>
      </c>
      <c r="G45">
        <v>29</v>
      </c>
      <c r="I45">
        <v>32</v>
      </c>
      <c r="J45">
        <v>30</v>
      </c>
      <c r="K45">
        <v>32</v>
      </c>
      <c r="L45">
        <v>33</v>
      </c>
      <c r="N45">
        <v>37</v>
      </c>
      <c r="O45" s="9">
        <v>31</v>
      </c>
      <c r="P45" s="9">
        <v>33</v>
      </c>
      <c r="Q45" s="9">
        <v>34</v>
      </c>
      <c r="R45" s="9"/>
      <c r="S45" s="9">
        <v>38</v>
      </c>
      <c r="T45">
        <v>31</v>
      </c>
      <c r="U45">
        <v>34</v>
      </c>
      <c r="V45">
        <v>35</v>
      </c>
      <c r="X45">
        <v>38</v>
      </c>
    </row>
    <row r="46" spans="1:24" x14ac:dyDescent="0.25">
      <c r="A46" t="str">
        <f>_xlfn.XLOOKUP(B46,Sheet1!A:A,Sheet1!B:B)</f>
        <v>SVM/VM</v>
      </c>
      <c r="B46">
        <v>102120</v>
      </c>
      <c r="C46" t="s">
        <v>25</v>
      </c>
      <c r="D46" t="s">
        <v>122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N46">
        <v>0</v>
      </c>
      <c r="O46" s="9">
        <v>0</v>
      </c>
      <c r="P46" s="9">
        <v>0</v>
      </c>
      <c r="Q46" s="9">
        <v>0</v>
      </c>
      <c r="R46" s="9"/>
      <c r="S46" s="9">
        <v>0</v>
      </c>
      <c r="T46">
        <v>0</v>
      </c>
      <c r="U46">
        <v>0</v>
      </c>
      <c r="V46">
        <v>0</v>
      </c>
      <c r="X46">
        <v>0</v>
      </c>
    </row>
    <row r="47" spans="1:24" x14ac:dyDescent="0.25">
      <c r="A47" t="str">
        <f>_xlfn.XLOOKUP(B47,Sheet1!A:A,Sheet1!B:B)</f>
        <v>SVM/VM</v>
      </c>
      <c r="B47">
        <v>100268</v>
      </c>
      <c r="C47" t="s">
        <v>123</v>
      </c>
      <c r="D47" t="s">
        <v>124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N47">
        <v>0</v>
      </c>
      <c r="O47" s="9">
        <v>0</v>
      </c>
      <c r="P47" s="9">
        <v>0</v>
      </c>
      <c r="Q47" s="9">
        <v>0</v>
      </c>
      <c r="R47" s="9"/>
      <c r="S47" s="9">
        <v>0</v>
      </c>
      <c r="T47">
        <v>0</v>
      </c>
      <c r="U47">
        <v>0</v>
      </c>
      <c r="V47">
        <v>0</v>
      </c>
      <c r="X47">
        <v>0</v>
      </c>
    </row>
    <row r="48" spans="1:24" x14ac:dyDescent="0.25">
      <c r="A48" t="str">
        <f>_xlfn.XLOOKUP(B48,Sheet1!A:A,Sheet1!B:B)</f>
        <v>SVM/VM</v>
      </c>
      <c r="B48">
        <v>103081</v>
      </c>
      <c r="C48" t="s">
        <v>115</v>
      </c>
      <c r="D48" t="s">
        <v>126</v>
      </c>
      <c r="E48">
        <v>26</v>
      </c>
      <c r="F48">
        <v>28</v>
      </c>
      <c r="G48">
        <v>29</v>
      </c>
      <c r="I48">
        <v>32</v>
      </c>
      <c r="J48">
        <v>30</v>
      </c>
      <c r="K48">
        <v>32</v>
      </c>
      <c r="L48">
        <v>33</v>
      </c>
      <c r="N48">
        <v>37</v>
      </c>
      <c r="O48" s="9">
        <v>31</v>
      </c>
      <c r="P48" s="9">
        <v>33</v>
      </c>
      <c r="Q48" s="9">
        <v>34</v>
      </c>
      <c r="R48" s="9"/>
      <c r="S48" s="9">
        <v>38</v>
      </c>
      <c r="T48">
        <v>31</v>
      </c>
      <c r="U48">
        <v>34</v>
      </c>
      <c r="V48">
        <v>35</v>
      </c>
      <c r="X48">
        <v>38</v>
      </c>
    </row>
    <row r="49" spans="1:24" x14ac:dyDescent="0.25">
      <c r="A49" t="str">
        <f>_xlfn.XLOOKUP(B49,Sheet1!A:A,Sheet1!B:B)</f>
        <v>SVM/VM</v>
      </c>
      <c r="B49">
        <v>100027</v>
      </c>
      <c r="C49" t="s">
        <v>127</v>
      </c>
      <c r="D49" t="s">
        <v>128</v>
      </c>
      <c r="E49">
        <v>46</v>
      </c>
      <c r="F49">
        <v>49</v>
      </c>
      <c r="G49">
        <v>51</v>
      </c>
      <c r="I49">
        <v>56</v>
      </c>
      <c r="J49">
        <v>53</v>
      </c>
      <c r="K49">
        <v>56</v>
      </c>
      <c r="L49">
        <v>58</v>
      </c>
      <c r="N49">
        <v>64</v>
      </c>
      <c r="O49" s="9">
        <v>54</v>
      </c>
      <c r="P49" s="9">
        <v>58</v>
      </c>
      <c r="Q49" s="9">
        <v>60</v>
      </c>
      <c r="R49" s="9"/>
      <c r="S49" s="9">
        <v>66</v>
      </c>
      <c r="T49">
        <v>55</v>
      </c>
      <c r="U49">
        <v>59</v>
      </c>
      <c r="V49">
        <v>61</v>
      </c>
      <c r="X49">
        <v>67</v>
      </c>
    </row>
  </sheetData>
  <autoFilter ref="A1:D49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46A8-3E8E-45CD-BD5E-ED379AFABF66}">
  <dimension ref="A1:Z49"/>
  <sheetViews>
    <sheetView topLeftCell="C1" workbookViewId="0">
      <selection activeCell="L1" sqref="L1:L1048576"/>
    </sheetView>
  </sheetViews>
  <sheetFormatPr defaultRowHeight="15" x14ac:dyDescent="0.25"/>
  <sheetData>
    <row r="1" spans="1:26" x14ac:dyDescent="0.25">
      <c r="B1" t="s">
        <v>0</v>
      </c>
      <c r="C1" t="s">
        <v>1</v>
      </c>
      <c r="D1" t="s">
        <v>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V1" t="s">
        <v>11</v>
      </c>
      <c r="W1" t="s">
        <v>9</v>
      </c>
      <c r="X1" t="s">
        <v>3</v>
      </c>
      <c r="Y1" t="s">
        <v>5</v>
      </c>
      <c r="Z1" t="s">
        <v>7</v>
      </c>
    </row>
    <row r="2" spans="1:26" x14ac:dyDescent="0.25">
      <c r="A2" t="str">
        <f>_xlfn.XLOOKUP(B2,Sheet1!A:A,Sheet1!B:B)</f>
        <v>SVM/VM</v>
      </c>
      <c r="B2">
        <v>102129</v>
      </c>
      <c r="C2" t="s">
        <v>27</v>
      </c>
      <c r="D2" t="s">
        <v>132</v>
      </c>
      <c r="J2" t="s">
        <v>21</v>
      </c>
      <c r="L2" t="s">
        <v>28</v>
      </c>
      <c r="M2" t="s">
        <v>22</v>
      </c>
      <c r="V2">
        <v>37</v>
      </c>
      <c r="W2">
        <v>40</v>
      </c>
      <c r="X2">
        <v>42</v>
      </c>
      <c r="Z2">
        <v>46</v>
      </c>
    </row>
    <row r="3" spans="1:26" x14ac:dyDescent="0.25">
      <c r="A3" t="str">
        <f>_xlfn.XLOOKUP(B3,Sheet1!A:A,Sheet1!B:B)</f>
        <v>SVM/VM</v>
      </c>
      <c r="B3">
        <v>102126</v>
      </c>
      <c r="C3" t="s">
        <v>29</v>
      </c>
      <c r="D3" t="s">
        <v>132</v>
      </c>
      <c r="J3" t="s">
        <v>23</v>
      </c>
      <c r="L3" t="s">
        <v>26</v>
      </c>
      <c r="M3" t="s">
        <v>22</v>
      </c>
      <c r="V3">
        <v>0</v>
      </c>
      <c r="W3">
        <v>0</v>
      </c>
      <c r="X3">
        <v>0</v>
      </c>
      <c r="Z3">
        <v>0</v>
      </c>
    </row>
    <row r="4" spans="1:26" x14ac:dyDescent="0.25">
      <c r="A4" t="str">
        <f>_xlfn.XLOOKUP(B4,Sheet1!A:A,Sheet1!B:B)</f>
        <v>AOS</v>
      </c>
      <c r="B4">
        <v>103811</v>
      </c>
      <c r="C4" t="s">
        <v>34</v>
      </c>
      <c r="D4" t="s">
        <v>132</v>
      </c>
      <c r="J4" t="s">
        <v>21</v>
      </c>
      <c r="L4" t="s">
        <v>35</v>
      </c>
      <c r="M4" t="s">
        <v>22</v>
      </c>
      <c r="V4">
        <v>0</v>
      </c>
      <c r="W4">
        <v>0</v>
      </c>
      <c r="X4">
        <v>0</v>
      </c>
      <c r="Z4">
        <v>0</v>
      </c>
    </row>
    <row r="5" spans="1:26" x14ac:dyDescent="0.25">
      <c r="A5" t="str">
        <f>_xlfn.XLOOKUP(B5,Sheet1!A:A,Sheet1!B:B)</f>
        <v>SVM/VM</v>
      </c>
      <c r="B5">
        <v>100345</v>
      </c>
      <c r="C5" t="s">
        <v>37</v>
      </c>
      <c r="D5" t="s">
        <v>132</v>
      </c>
      <c r="J5" t="s">
        <v>21</v>
      </c>
      <c r="L5" t="s">
        <v>38</v>
      </c>
      <c r="M5" t="s">
        <v>22</v>
      </c>
      <c r="V5">
        <v>54</v>
      </c>
      <c r="W5">
        <v>57</v>
      </c>
      <c r="X5">
        <v>60</v>
      </c>
      <c r="Z5">
        <v>64</v>
      </c>
    </row>
    <row r="6" spans="1:26" x14ac:dyDescent="0.25">
      <c r="A6" t="str">
        <f>_xlfn.XLOOKUP(B6,Sheet1!A:A,Sheet1!B:B)</f>
        <v>SVM/VM</v>
      </c>
      <c r="B6">
        <v>103084</v>
      </c>
      <c r="C6" t="s">
        <v>42</v>
      </c>
      <c r="D6" t="s">
        <v>132</v>
      </c>
      <c r="J6" t="s">
        <v>21</v>
      </c>
      <c r="L6" t="s">
        <v>43</v>
      </c>
      <c r="M6" t="s">
        <v>22</v>
      </c>
      <c r="V6">
        <v>31</v>
      </c>
      <c r="W6">
        <v>34</v>
      </c>
      <c r="X6">
        <v>35</v>
      </c>
      <c r="Z6">
        <v>38</v>
      </c>
    </row>
    <row r="7" spans="1:26" x14ac:dyDescent="0.25">
      <c r="A7" t="str">
        <f>_xlfn.XLOOKUP(B7,Sheet1!A:A,Sheet1!B:B)</f>
        <v>SVM/VM</v>
      </c>
      <c r="B7">
        <v>103083</v>
      </c>
      <c r="C7" t="s">
        <v>40</v>
      </c>
      <c r="D7" t="s">
        <v>132</v>
      </c>
      <c r="J7" t="s">
        <v>21</v>
      </c>
      <c r="L7" t="s">
        <v>48</v>
      </c>
      <c r="M7" t="s">
        <v>22</v>
      </c>
      <c r="V7">
        <v>49</v>
      </c>
      <c r="W7">
        <v>53</v>
      </c>
      <c r="X7">
        <v>55</v>
      </c>
      <c r="Z7">
        <v>60</v>
      </c>
    </row>
    <row r="8" spans="1:26" x14ac:dyDescent="0.25">
      <c r="A8" t="str">
        <f>_xlfn.XLOOKUP(B8,Sheet1!A:A,Sheet1!B:B)</f>
        <v>SVM/VM</v>
      </c>
      <c r="B8">
        <v>102543</v>
      </c>
      <c r="C8" t="s">
        <v>50</v>
      </c>
      <c r="D8" t="s">
        <v>132</v>
      </c>
      <c r="J8" t="s">
        <v>21</v>
      </c>
      <c r="L8" t="s">
        <v>51</v>
      </c>
      <c r="M8" t="s">
        <v>22</v>
      </c>
      <c r="V8">
        <v>61</v>
      </c>
      <c r="W8">
        <v>64</v>
      </c>
      <c r="X8">
        <v>68</v>
      </c>
      <c r="Z8">
        <v>74</v>
      </c>
    </row>
    <row r="9" spans="1:26" x14ac:dyDescent="0.25">
      <c r="A9" t="str">
        <f>_xlfn.XLOOKUP(B9,Sheet1!A:A,Sheet1!B:B)</f>
        <v>AOS</v>
      </c>
      <c r="B9">
        <v>103813</v>
      </c>
      <c r="C9" t="s">
        <v>30</v>
      </c>
      <c r="D9" t="s">
        <v>132</v>
      </c>
      <c r="J9" t="s">
        <v>21</v>
      </c>
      <c r="L9" t="s">
        <v>58</v>
      </c>
      <c r="M9" t="s">
        <v>22</v>
      </c>
      <c r="V9">
        <v>0</v>
      </c>
      <c r="W9">
        <v>0</v>
      </c>
      <c r="X9">
        <v>0</v>
      </c>
      <c r="Z9">
        <v>0</v>
      </c>
    </row>
    <row r="10" spans="1:26" x14ac:dyDescent="0.25">
      <c r="A10" t="str">
        <f>_xlfn.XLOOKUP(B10,Sheet1!A:A,Sheet1!B:B)</f>
        <v>SVM/VM</v>
      </c>
      <c r="B10">
        <v>102125</v>
      </c>
      <c r="C10" t="s">
        <v>41</v>
      </c>
      <c r="D10" t="s">
        <v>132</v>
      </c>
      <c r="J10" t="s">
        <v>21</v>
      </c>
      <c r="L10" t="s">
        <v>64</v>
      </c>
      <c r="M10" t="s">
        <v>22</v>
      </c>
      <c r="V10">
        <v>37</v>
      </c>
      <c r="W10">
        <v>40</v>
      </c>
      <c r="X10">
        <v>42</v>
      </c>
      <c r="Z10">
        <v>46</v>
      </c>
    </row>
    <row r="11" spans="1:26" x14ac:dyDescent="0.25">
      <c r="A11" t="str">
        <f>_xlfn.XLOOKUP(B11,Sheet1!A:A,Sheet1!B:B)</f>
        <v>SVM/VM</v>
      </c>
      <c r="B11">
        <v>100349</v>
      </c>
      <c r="C11" t="s">
        <v>67</v>
      </c>
      <c r="D11" t="s">
        <v>132</v>
      </c>
      <c r="J11" t="s">
        <v>21</v>
      </c>
      <c r="L11" t="s">
        <v>68</v>
      </c>
      <c r="M11" t="s">
        <v>22</v>
      </c>
      <c r="V11">
        <v>73</v>
      </c>
      <c r="W11">
        <v>78</v>
      </c>
      <c r="X11">
        <v>81</v>
      </c>
      <c r="Z11">
        <v>88</v>
      </c>
    </row>
    <row r="12" spans="1:26" x14ac:dyDescent="0.25">
      <c r="A12" t="str">
        <f>_xlfn.XLOOKUP(B12,Sheet1!A:A,Sheet1!B:B)</f>
        <v>SVM/VM</v>
      </c>
      <c r="B12">
        <v>103077</v>
      </c>
      <c r="C12" t="s">
        <v>46</v>
      </c>
      <c r="D12" t="s">
        <v>132</v>
      </c>
      <c r="J12" t="s">
        <v>21</v>
      </c>
      <c r="L12" t="s">
        <v>69</v>
      </c>
      <c r="M12" t="s">
        <v>22</v>
      </c>
      <c r="V12">
        <v>31</v>
      </c>
      <c r="W12">
        <v>34</v>
      </c>
      <c r="X12">
        <v>35</v>
      </c>
      <c r="Z12">
        <v>38</v>
      </c>
    </row>
    <row r="13" spans="1:26" x14ac:dyDescent="0.25">
      <c r="A13" t="str">
        <f>_xlfn.XLOOKUP(B13,Sheet1!A:A,Sheet1!B:B)</f>
        <v>SVM/VM</v>
      </c>
      <c r="B13">
        <v>102119</v>
      </c>
      <c r="C13" t="s">
        <v>71</v>
      </c>
      <c r="D13" t="s">
        <v>132</v>
      </c>
      <c r="J13" t="s">
        <v>21</v>
      </c>
      <c r="L13" t="s">
        <v>72</v>
      </c>
      <c r="M13" t="s">
        <v>22</v>
      </c>
      <c r="V13">
        <v>37</v>
      </c>
      <c r="W13">
        <v>40</v>
      </c>
      <c r="X13">
        <v>42</v>
      </c>
      <c r="Z13">
        <v>46</v>
      </c>
    </row>
    <row r="14" spans="1:26" x14ac:dyDescent="0.25">
      <c r="A14" t="str">
        <f>_xlfn.XLOOKUP(B14,Sheet1!A:A,Sheet1!B:B)</f>
        <v>SVM/VM</v>
      </c>
      <c r="B14">
        <v>102134</v>
      </c>
      <c r="C14" t="s">
        <v>49</v>
      </c>
      <c r="D14" t="s">
        <v>132</v>
      </c>
      <c r="J14" t="s">
        <v>23</v>
      </c>
      <c r="L14" t="s">
        <v>73</v>
      </c>
      <c r="M14" t="s">
        <v>22</v>
      </c>
      <c r="V14">
        <v>0</v>
      </c>
      <c r="W14">
        <v>0</v>
      </c>
      <c r="X14">
        <v>0</v>
      </c>
      <c r="Z14">
        <v>0</v>
      </c>
    </row>
    <row r="15" spans="1:26" x14ac:dyDescent="0.25">
      <c r="A15" t="str">
        <f>_xlfn.XLOOKUP(B15,Sheet1!A:A,Sheet1!B:B)</f>
        <v>SVM/VM</v>
      </c>
      <c r="B15">
        <v>100011</v>
      </c>
      <c r="C15" t="s">
        <v>31</v>
      </c>
      <c r="D15" t="s">
        <v>132</v>
      </c>
      <c r="J15" t="s">
        <v>23</v>
      </c>
      <c r="L15" t="s">
        <v>74</v>
      </c>
      <c r="M15" t="s">
        <v>22</v>
      </c>
      <c r="V15">
        <v>37</v>
      </c>
      <c r="W15">
        <v>40</v>
      </c>
      <c r="X15">
        <v>42</v>
      </c>
      <c r="Z15">
        <v>46</v>
      </c>
    </row>
    <row r="16" spans="1:26" x14ac:dyDescent="0.25">
      <c r="A16" t="str">
        <f>_xlfn.XLOOKUP(B16,Sheet1!A:A,Sheet1!B:B)</f>
        <v>SVM/VM</v>
      </c>
      <c r="B16">
        <v>103074</v>
      </c>
      <c r="C16" t="s">
        <v>62</v>
      </c>
      <c r="D16" t="s">
        <v>132</v>
      </c>
      <c r="J16" t="s">
        <v>23</v>
      </c>
      <c r="L16" t="s">
        <v>75</v>
      </c>
      <c r="M16" t="s">
        <v>22</v>
      </c>
      <c r="V16">
        <v>31</v>
      </c>
      <c r="W16">
        <v>34</v>
      </c>
      <c r="X16">
        <v>35</v>
      </c>
      <c r="Z16">
        <v>38</v>
      </c>
    </row>
    <row r="17" spans="1:26" x14ac:dyDescent="0.25">
      <c r="A17" t="str">
        <f>_xlfn.XLOOKUP(B17,Sheet1!A:A,Sheet1!B:B)</f>
        <v>SVM/VM</v>
      </c>
      <c r="B17">
        <v>100003</v>
      </c>
      <c r="C17" t="s">
        <v>76</v>
      </c>
      <c r="D17" t="s">
        <v>132</v>
      </c>
      <c r="J17" t="s">
        <v>23</v>
      </c>
      <c r="L17" t="s">
        <v>77</v>
      </c>
      <c r="M17" t="s">
        <v>22</v>
      </c>
      <c r="V17">
        <v>37</v>
      </c>
      <c r="W17">
        <v>40</v>
      </c>
      <c r="X17">
        <v>42</v>
      </c>
      <c r="Z17">
        <v>46</v>
      </c>
    </row>
    <row r="18" spans="1:26" x14ac:dyDescent="0.25">
      <c r="A18" t="str">
        <f>_xlfn.XLOOKUP(B18,Sheet1!A:A,Sheet1!B:B)</f>
        <v>SVM/VM</v>
      </c>
      <c r="B18">
        <v>102124</v>
      </c>
      <c r="C18" t="s">
        <v>60</v>
      </c>
      <c r="D18" t="s">
        <v>132</v>
      </c>
      <c r="J18" t="s">
        <v>21</v>
      </c>
      <c r="L18" t="s">
        <v>78</v>
      </c>
      <c r="M18" t="s">
        <v>22</v>
      </c>
      <c r="V18">
        <v>0</v>
      </c>
      <c r="W18">
        <v>0</v>
      </c>
      <c r="X18">
        <v>0</v>
      </c>
      <c r="Z18">
        <v>0</v>
      </c>
    </row>
    <row r="19" spans="1:26" x14ac:dyDescent="0.25">
      <c r="A19" t="str">
        <f>_xlfn.XLOOKUP(B19,Sheet1!A:A,Sheet1!B:B)</f>
        <v>SVM/VM</v>
      </c>
      <c r="B19">
        <v>102128</v>
      </c>
      <c r="C19" t="s">
        <v>79</v>
      </c>
      <c r="D19" t="s">
        <v>132</v>
      </c>
      <c r="J19" t="s">
        <v>21</v>
      </c>
      <c r="L19" t="s">
        <v>55</v>
      </c>
      <c r="M19" t="s">
        <v>22</v>
      </c>
      <c r="V19">
        <v>0</v>
      </c>
      <c r="W19">
        <v>0</v>
      </c>
      <c r="X19">
        <v>0</v>
      </c>
      <c r="Z19">
        <v>0</v>
      </c>
    </row>
    <row r="20" spans="1:26" x14ac:dyDescent="0.25">
      <c r="A20" t="str">
        <f>_xlfn.XLOOKUP(B20,Sheet1!A:A,Sheet1!B:B)</f>
        <v>SVM/VM</v>
      </c>
      <c r="B20">
        <v>102122</v>
      </c>
      <c r="C20" t="s">
        <v>81</v>
      </c>
      <c r="D20" t="s">
        <v>132</v>
      </c>
      <c r="J20" t="s">
        <v>21</v>
      </c>
      <c r="L20" t="s">
        <v>82</v>
      </c>
      <c r="M20" t="s">
        <v>22</v>
      </c>
      <c r="V20">
        <v>0</v>
      </c>
      <c r="W20">
        <v>0</v>
      </c>
      <c r="X20">
        <v>0</v>
      </c>
      <c r="Z20">
        <v>0</v>
      </c>
    </row>
    <row r="21" spans="1:26" x14ac:dyDescent="0.25">
      <c r="A21" t="str">
        <f>_xlfn.XLOOKUP(B21,Sheet1!A:A,Sheet1!B:B)</f>
        <v>SVM/VM</v>
      </c>
      <c r="B21">
        <v>100007</v>
      </c>
      <c r="C21" t="s">
        <v>83</v>
      </c>
      <c r="D21" t="s">
        <v>132</v>
      </c>
      <c r="J21" t="s">
        <v>21</v>
      </c>
      <c r="L21" t="s">
        <v>84</v>
      </c>
      <c r="M21" t="s">
        <v>22</v>
      </c>
      <c r="V21">
        <v>55</v>
      </c>
      <c r="W21">
        <v>59</v>
      </c>
      <c r="X21">
        <v>61</v>
      </c>
      <c r="Z21">
        <v>67</v>
      </c>
    </row>
    <row r="22" spans="1:26" x14ac:dyDescent="0.25">
      <c r="A22" t="str">
        <f>_xlfn.XLOOKUP(B22,Sheet1!A:A,Sheet1!B:B)</f>
        <v>SVM/VM</v>
      </c>
      <c r="B22">
        <v>100344</v>
      </c>
      <c r="C22" t="s">
        <v>85</v>
      </c>
      <c r="D22" t="s">
        <v>132</v>
      </c>
      <c r="J22" t="s">
        <v>21</v>
      </c>
      <c r="L22" t="s">
        <v>86</v>
      </c>
      <c r="M22" t="s">
        <v>22</v>
      </c>
      <c r="V22">
        <v>62</v>
      </c>
      <c r="W22">
        <v>66</v>
      </c>
      <c r="X22">
        <v>69</v>
      </c>
      <c r="Z22">
        <v>75</v>
      </c>
    </row>
    <row r="23" spans="1:26" x14ac:dyDescent="0.25">
      <c r="A23" t="str">
        <f>_xlfn.XLOOKUP(B23,Sheet1!A:A,Sheet1!B:B)</f>
        <v>SVM/VM</v>
      </c>
      <c r="B23">
        <v>103131</v>
      </c>
      <c r="C23" t="s">
        <v>87</v>
      </c>
      <c r="D23" t="s">
        <v>132</v>
      </c>
      <c r="J23" t="s">
        <v>23</v>
      </c>
      <c r="L23" t="s">
        <v>88</v>
      </c>
      <c r="M23" t="s">
        <v>22</v>
      </c>
      <c r="V23">
        <v>55</v>
      </c>
      <c r="W23">
        <v>59</v>
      </c>
      <c r="X23">
        <v>61</v>
      </c>
      <c r="Z23">
        <v>67</v>
      </c>
    </row>
    <row r="24" spans="1:26" x14ac:dyDescent="0.25">
      <c r="A24" t="str">
        <f>_xlfn.XLOOKUP(B24,Sheet1!A:A,Sheet1!B:B)</f>
        <v>SVM/VM</v>
      </c>
      <c r="B24">
        <v>102127</v>
      </c>
      <c r="C24" t="s">
        <v>89</v>
      </c>
      <c r="D24" t="s">
        <v>132</v>
      </c>
      <c r="J24" t="s">
        <v>21</v>
      </c>
      <c r="L24" t="s">
        <v>90</v>
      </c>
      <c r="M24" t="s">
        <v>22</v>
      </c>
      <c r="V24">
        <v>37</v>
      </c>
      <c r="W24">
        <v>40</v>
      </c>
      <c r="X24">
        <v>42</v>
      </c>
      <c r="Z24">
        <v>46</v>
      </c>
    </row>
    <row r="25" spans="1:26" x14ac:dyDescent="0.25">
      <c r="A25" t="str">
        <f>_xlfn.XLOOKUP(B25,Sheet1!A:A,Sheet1!B:B)</f>
        <v>SVM/VM</v>
      </c>
      <c r="B25">
        <v>100174</v>
      </c>
      <c r="C25" t="s">
        <v>59</v>
      </c>
      <c r="D25" t="s">
        <v>132</v>
      </c>
      <c r="J25" t="s">
        <v>21</v>
      </c>
      <c r="L25" t="s">
        <v>91</v>
      </c>
      <c r="M25" t="s">
        <v>22</v>
      </c>
      <c r="V25">
        <v>0</v>
      </c>
      <c r="W25">
        <v>0</v>
      </c>
      <c r="X25">
        <v>0</v>
      </c>
      <c r="Z25">
        <v>0</v>
      </c>
    </row>
    <row r="26" spans="1:26" x14ac:dyDescent="0.25">
      <c r="A26" t="str">
        <f>_xlfn.XLOOKUP(B26,Sheet1!A:A,Sheet1!B:B)</f>
        <v>SVM/VM</v>
      </c>
      <c r="B26">
        <v>102137</v>
      </c>
      <c r="C26" t="s">
        <v>92</v>
      </c>
      <c r="D26" t="s">
        <v>132</v>
      </c>
      <c r="J26" t="s">
        <v>21</v>
      </c>
      <c r="L26" t="s">
        <v>93</v>
      </c>
      <c r="M26" t="s">
        <v>22</v>
      </c>
      <c r="V26">
        <v>37</v>
      </c>
      <c r="W26">
        <v>40</v>
      </c>
      <c r="X26">
        <v>42</v>
      </c>
      <c r="Z26">
        <v>46</v>
      </c>
    </row>
    <row r="27" spans="1:26" x14ac:dyDescent="0.25">
      <c r="A27" t="str">
        <f>_xlfn.XLOOKUP(B27,Sheet1!A:A,Sheet1!B:B)</f>
        <v>SVM/VM</v>
      </c>
      <c r="B27">
        <v>100000</v>
      </c>
      <c r="C27" t="s">
        <v>96</v>
      </c>
      <c r="D27" t="s">
        <v>132</v>
      </c>
      <c r="J27" t="s">
        <v>21</v>
      </c>
      <c r="L27" t="s">
        <v>97</v>
      </c>
      <c r="M27" t="s">
        <v>22</v>
      </c>
      <c r="V27">
        <v>44</v>
      </c>
      <c r="W27">
        <v>47</v>
      </c>
      <c r="X27">
        <v>49</v>
      </c>
      <c r="Z27">
        <v>54</v>
      </c>
    </row>
    <row r="28" spans="1:26" x14ac:dyDescent="0.25">
      <c r="A28" t="str">
        <f>_xlfn.XLOOKUP(B28,Sheet1!A:A,Sheet1!B:B)</f>
        <v>SVM/VM</v>
      </c>
      <c r="B28">
        <v>102123</v>
      </c>
      <c r="C28" t="s">
        <v>98</v>
      </c>
      <c r="D28" t="s">
        <v>132</v>
      </c>
      <c r="J28" t="s">
        <v>23</v>
      </c>
      <c r="L28" t="s">
        <v>99</v>
      </c>
      <c r="M28" t="s">
        <v>22</v>
      </c>
      <c r="V28">
        <v>37</v>
      </c>
      <c r="W28">
        <v>40</v>
      </c>
      <c r="X28">
        <v>42</v>
      </c>
      <c r="Z28">
        <v>46</v>
      </c>
    </row>
    <row r="29" spans="1:26" x14ac:dyDescent="0.25">
      <c r="A29" t="str">
        <f>_xlfn.XLOOKUP(B29,Sheet1!A:A,Sheet1!B:B)</f>
        <v>SVM/VM</v>
      </c>
      <c r="B29">
        <v>100025</v>
      </c>
      <c r="C29" t="s">
        <v>36</v>
      </c>
      <c r="D29" t="s">
        <v>132</v>
      </c>
      <c r="J29" t="s">
        <v>23</v>
      </c>
      <c r="L29" t="s">
        <v>100</v>
      </c>
      <c r="M29" t="s">
        <v>22</v>
      </c>
      <c r="V29">
        <v>0</v>
      </c>
      <c r="W29">
        <v>0</v>
      </c>
      <c r="X29">
        <v>0</v>
      </c>
      <c r="Z29">
        <v>0</v>
      </c>
    </row>
    <row r="30" spans="1:26" x14ac:dyDescent="0.25">
      <c r="A30" t="str">
        <f>_xlfn.XLOOKUP(B30,Sheet1!A:A,Sheet1!B:B)</f>
        <v>SVM/VM</v>
      </c>
      <c r="B30">
        <v>100029</v>
      </c>
      <c r="C30" t="s">
        <v>101</v>
      </c>
      <c r="D30" t="s">
        <v>132</v>
      </c>
      <c r="J30" t="s">
        <v>23</v>
      </c>
      <c r="L30" t="s">
        <v>102</v>
      </c>
      <c r="M30" t="s">
        <v>22</v>
      </c>
      <c r="V30">
        <v>0</v>
      </c>
      <c r="W30">
        <v>0</v>
      </c>
      <c r="X30">
        <v>0</v>
      </c>
      <c r="Z30">
        <v>0</v>
      </c>
    </row>
    <row r="31" spans="1:26" x14ac:dyDescent="0.25">
      <c r="A31" t="str">
        <f>_xlfn.XLOOKUP(B31,Sheet1!A:A,Sheet1!B:B)</f>
        <v>SVM/VM</v>
      </c>
      <c r="B31">
        <v>102542</v>
      </c>
      <c r="C31" t="s">
        <v>57</v>
      </c>
      <c r="D31" t="s">
        <v>132</v>
      </c>
      <c r="J31" t="s">
        <v>21</v>
      </c>
      <c r="L31" t="s">
        <v>103</v>
      </c>
      <c r="M31" t="s">
        <v>22</v>
      </c>
      <c r="V31">
        <v>36</v>
      </c>
      <c r="W31">
        <v>38</v>
      </c>
      <c r="X31">
        <v>40</v>
      </c>
      <c r="Z31">
        <v>43</v>
      </c>
    </row>
    <row r="32" spans="1:26" x14ac:dyDescent="0.25">
      <c r="A32" t="str">
        <f>_xlfn.XLOOKUP(B32,Sheet1!A:A,Sheet1!B:B)</f>
        <v>SVM/VM</v>
      </c>
      <c r="B32">
        <v>100272</v>
      </c>
      <c r="C32" t="s">
        <v>56</v>
      </c>
      <c r="D32" t="s">
        <v>132</v>
      </c>
      <c r="J32" t="s">
        <v>23</v>
      </c>
      <c r="L32" t="s">
        <v>104</v>
      </c>
      <c r="M32" t="s">
        <v>22</v>
      </c>
      <c r="V32">
        <v>37</v>
      </c>
      <c r="W32">
        <v>40</v>
      </c>
      <c r="X32">
        <v>42</v>
      </c>
      <c r="Z32">
        <v>46</v>
      </c>
    </row>
    <row r="33" spans="1:26" x14ac:dyDescent="0.25">
      <c r="A33" t="str">
        <f>_xlfn.XLOOKUP(B33,Sheet1!A:A,Sheet1!B:B)</f>
        <v>SVM/VM</v>
      </c>
      <c r="B33">
        <v>103129</v>
      </c>
      <c r="C33" t="s">
        <v>105</v>
      </c>
      <c r="D33" t="s">
        <v>132</v>
      </c>
      <c r="J33" t="s">
        <v>21</v>
      </c>
      <c r="L33" t="s">
        <v>106</v>
      </c>
      <c r="M33" t="s">
        <v>22</v>
      </c>
      <c r="V33">
        <v>49</v>
      </c>
      <c r="W33">
        <v>53</v>
      </c>
      <c r="X33">
        <v>55</v>
      </c>
      <c r="Z33">
        <v>60</v>
      </c>
    </row>
    <row r="34" spans="1:26" x14ac:dyDescent="0.25">
      <c r="A34" t="str">
        <f>_xlfn.XLOOKUP(B34,Sheet1!A:A,Sheet1!B:B)</f>
        <v>SVM/VM</v>
      </c>
      <c r="B34">
        <v>103078</v>
      </c>
      <c r="C34" t="s">
        <v>45</v>
      </c>
      <c r="D34" t="s">
        <v>132</v>
      </c>
      <c r="J34" t="s">
        <v>21</v>
      </c>
      <c r="L34" t="s">
        <v>107</v>
      </c>
      <c r="M34" t="s">
        <v>22</v>
      </c>
      <c r="V34">
        <v>31</v>
      </c>
      <c r="W34">
        <v>34</v>
      </c>
      <c r="X34">
        <v>35</v>
      </c>
      <c r="Z34">
        <v>38</v>
      </c>
    </row>
    <row r="35" spans="1:26" x14ac:dyDescent="0.25">
      <c r="A35" t="str">
        <f>_xlfn.XLOOKUP(B35,Sheet1!A:A,Sheet1!B:B)</f>
        <v>AOS</v>
      </c>
      <c r="B35">
        <v>103814</v>
      </c>
      <c r="C35" t="s">
        <v>52</v>
      </c>
      <c r="D35" t="s">
        <v>132</v>
      </c>
      <c r="J35" t="s">
        <v>21</v>
      </c>
      <c r="L35" t="s">
        <v>108</v>
      </c>
      <c r="M35" t="s">
        <v>22</v>
      </c>
      <c r="V35">
        <v>0</v>
      </c>
      <c r="W35">
        <v>0</v>
      </c>
      <c r="X35">
        <v>0</v>
      </c>
      <c r="Z35">
        <v>0</v>
      </c>
    </row>
    <row r="36" spans="1:26" x14ac:dyDescent="0.25">
      <c r="A36" t="str">
        <f>_xlfn.XLOOKUP(B36,Sheet1!A:A,Sheet1!B:B)</f>
        <v>SVM/VM</v>
      </c>
      <c r="B36">
        <v>103082</v>
      </c>
      <c r="C36" t="s">
        <v>109</v>
      </c>
      <c r="D36" t="s">
        <v>132</v>
      </c>
      <c r="J36" t="s">
        <v>21</v>
      </c>
      <c r="L36" t="s">
        <v>110</v>
      </c>
      <c r="M36" t="s">
        <v>22</v>
      </c>
      <c r="V36">
        <v>49</v>
      </c>
      <c r="W36">
        <v>53</v>
      </c>
      <c r="X36">
        <v>55</v>
      </c>
      <c r="Z36">
        <v>60</v>
      </c>
    </row>
    <row r="37" spans="1:26" x14ac:dyDescent="0.25">
      <c r="A37" t="str">
        <f>_xlfn.XLOOKUP(B37,Sheet1!A:A,Sheet1!B:B)</f>
        <v>SVM/VM</v>
      </c>
      <c r="B37">
        <v>103075</v>
      </c>
      <c r="C37" t="s">
        <v>39</v>
      </c>
      <c r="D37" t="s">
        <v>132</v>
      </c>
      <c r="J37" t="s">
        <v>21</v>
      </c>
      <c r="L37" t="s">
        <v>111</v>
      </c>
      <c r="M37" t="s">
        <v>22</v>
      </c>
      <c r="V37">
        <v>31</v>
      </c>
      <c r="W37">
        <v>34</v>
      </c>
      <c r="X37">
        <v>35</v>
      </c>
      <c r="Z37">
        <v>38</v>
      </c>
    </row>
    <row r="38" spans="1:26" x14ac:dyDescent="0.25">
      <c r="A38" t="str">
        <f>_xlfn.XLOOKUP(B38,Sheet1!A:A,Sheet1!B:B)</f>
        <v>SVM/VM</v>
      </c>
      <c r="B38">
        <v>100005</v>
      </c>
      <c r="C38" t="s">
        <v>65</v>
      </c>
      <c r="D38" t="s">
        <v>132</v>
      </c>
      <c r="J38" t="s">
        <v>23</v>
      </c>
      <c r="L38" t="s">
        <v>112</v>
      </c>
      <c r="M38" t="s">
        <v>22</v>
      </c>
      <c r="V38">
        <v>37</v>
      </c>
      <c r="W38">
        <v>40</v>
      </c>
      <c r="X38">
        <v>42</v>
      </c>
      <c r="Z38">
        <v>46</v>
      </c>
    </row>
    <row r="39" spans="1:26" x14ac:dyDescent="0.25">
      <c r="A39" t="str">
        <f>_xlfn.XLOOKUP(B39,Sheet1!A:A,Sheet1!B:B)</f>
        <v>SVM/VM</v>
      </c>
      <c r="B39">
        <v>100032</v>
      </c>
      <c r="C39" t="s">
        <v>95</v>
      </c>
      <c r="D39" t="s">
        <v>132</v>
      </c>
      <c r="J39" t="s">
        <v>23</v>
      </c>
      <c r="L39" t="s">
        <v>113</v>
      </c>
      <c r="M39" t="s">
        <v>22</v>
      </c>
      <c r="V39">
        <v>0</v>
      </c>
      <c r="W39">
        <v>0</v>
      </c>
      <c r="X39">
        <v>0</v>
      </c>
      <c r="Z39">
        <v>0</v>
      </c>
    </row>
    <row r="40" spans="1:26" x14ac:dyDescent="0.25">
      <c r="A40" t="str">
        <f>_xlfn.XLOOKUP(B40,Sheet1!A:A,Sheet1!B:B)</f>
        <v>AOS</v>
      </c>
      <c r="B40">
        <v>103812</v>
      </c>
      <c r="C40" t="s">
        <v>54</v>
      </c>
      <c r="D40" t="s">
        <v>132</v>
      </c>
      <c r="J40" t="s">
        <v>21</v>
      </c>
      <c r="L40" t="s">
        <v>24</v>
      </c>
      <c r="M40" t="s">
        <v>22</v>
      </c>
      <c r="V40">
        <v>0</v>
      </c>
      <c r="W40">
        <v>0</v>
      </c>
      <c r="X40">
        <v>0</v>
      </c>
      <c r="Z40">
        <v>0</v>
      </c>
    </row>
    <row r="41" spans="1:26" x14ac:dyDescent="0.25">
      <c r="A41" t="str">
        <f>_xlfn.XLOOKUP(B41,Sheet1!A:A,Sheet1!B:B)</f>
        <v>SVM/VM</v>
      </c>
      <c r="B41">
        <v>103079</v>
      </c>
      <c r="C41" t="s">
        <v>116</v>
      </c>
      <c r="D41" t="s">
        <v>132</v>
      </c>
      <c r="J41" t="s">
        <v>21</v>
      </c>
      <c r="L41" t="s">
        <v>117</v>
      </c>
      <c r="M41" t="s">
        <v>22</v>
      </c>
      <c r="V41">
        <v>31</v>
      </c>
      <c r="W41">
        <v>34</v>
      </c>
      <c r="X41">
        <v>35</v>
      </c>
      <c r="Z41">
        <v>38</v>
      </c>
    </row>
    <row r="42" spans="1:26" x14ac:dyDescent="0.25">
      <c r="A42" t="str">
        <f>_xlfn.XLOOKUP(B42,Sheet1!A:A,Sheet1!B:B)</f>
        <v>SVM/VM</v>
      </c>
      <c r="B42">
        <v>102105</v>
      </c>
      <c r="C42" t="s">
        <v>61</v>
      </c>
      <c r="D42" t="s">
        <v>132</v>
      </c>
      <c r="J42" t="s">
        <v>23</v>
      </c>
      <c r="L42" t="s">
        <v>118</v>
      </c>
      <c r="M42" t="s">
        <v>22</v>
      </c>
      <c r="V42">
        <v>40</v>
      </c>
      <c r="W42">
        <v>42</v>
      </c>
      <c r="X42">
        <v>44</v>
      </c>
      <c r="Z42">
        <v>48</v>
      </c>
    </row>
    <row r="43" spans="1:26" x14ac:dyDescent="0.25">
      <c r="A43" t="str">
        <f>_xlfn.XLOOKUP(B43,Sheet1!A:A,Sheet1!B:B)</f>
        <v>SVM/VM</v>
      </c>
      <c r="B43">
        <v>103073</v>
      </c>
      <c r="C43" t="s">
        <v>119</v>
      </c>
      <c r="D43" t="s">
        <v>132</v>
      </c>
      <c r="J43" t="s">
        <v>21</v>
      </c>
      <c r="L43" t="s">
        <v>44</v>
      </c>
      <c r="M43" t="s">
        <v>22</v>
      </c>
      <c r="V43">
        <v>31</v>
      </c>
      <c r="W43">
        <v>34</v>
      </c>
      <c r="X43">
        <v>35</v>
      </c>
      <c r="Z43">
        <v>38</v>
      </c>
    </row>
    <row r="44" spans="1:26" x14ac:dyDescent="0.25">
      <c r="A44" t="str">
        <f>_xlfn.XLOOKUP(B44,Sheet1!A:A,Sheet1!B:B)</f>
        <v>SVM/VM</v>
      </c>
      <c r="B44">
        <v>103076</v>
      </c>
      <c r="C44" t="s">
        <v>47</v>
      </c>
      <c r="D44" t="s">
        <v>132</v>
      </c>
      <c r="J44" t="s">
        <v>23</v>
      </c>
      <c r="L44" t="s">
        <v>120</v>
      </c>
      <c r="M44" t="s">
        <v>22</v>
      </c>
      <c r="V44">
        <v>31</v>
      </c>
      <c r="W44">
        <v>34</v>
      </c>
      <c r="X44">
        <v>35</v>
      </c>
      <c r="Z44">
        <v>38</v>
      </c>
    </row>
    <row r="45" spans="1:26" x14ac:dyDescent="0.25">
      <c r="A45" t="str">
        <f>_xlfn.XLOOKUP(B45,Sheet1!A:A,Sheet1!B:B)</f>
        <v>SVM/VM</v>
      </c>
      <c r="B45">
        <v>103080</v>
      </c>
      <c r="C45" t="s">
        <v>32</v>
      </c>
      <c r="D45" t="s">
        <v>132</v>
      </c>
      <c r="J45" t="s">
        <v>23</v>
      </c>
      <c r="L45" t="s">
        <v>121</v>
      </c>
      <c r="M45" t="s">
        <v>22</v>
      </c>
      <c r="V45">
        <v>31</v>
      </c>
      <c r="W45">
        <v>34</v>
      </c>
      <c r="X45">
        <v>35</v>
      </c>
      <c r="Z45">
        <v>38</v>
      </c>
    </row>
    <row r="46" spans="1:26" x14ac:dyDescent="0.25">
      <c r="A46" t="str">
        <f>_xlfn.XLOOKUP(B46,Sheet1!A:A,Sheet1!B:B)</f>
        <v>SVM/VM</v>
      </c>
      <c r="B46">
        <v>102120</v>
      </c>
      <c r="C46" t="s">
        <v>25</v>
      </c>
      <c r="D46" t="s">
        <v>132</v>
      </c>
      <c r="J46" t="s">
        <v>21</v>
      </c>
      <c r="L46" t="s">
        <v>122</v>
      </c>
      <c r="M46" t="s">
        <v>22</v>
      </c>
      <c r="V46">
        <v>0</v>
      </c>
      <c r="W46">
        <v>0</v>
      </c>
      <c r="X46">
        <v>0</v>
      </c>
      <c r="Z46">
        <v>0</v>
      </c>
    </row>
    <row r="47" spans="1:26" x14ac:dyDescent="0.25">
      <c r="A47" t="str">
        <f>_xlfn.XLOOKUP(B47,Sheet1!A:A,Sheet1!B:B)</f>
        <v>SVM/VM</v>
      </c>
      <c r="B47">
        <v>100268</v>
      </c>
      <c r="C47" t="s">
        <v>123</v>
      </c>
      <c r="D47" t="s">
        <v>132</v>
      </c>
      <c r="J47" t="s">
        <v>23</v>
      </c>
      <c r="L47" t="s">
        <v>124</v>
      </c>
      <c r="M47" t="s">
        <v>22</v>
      </c>
      <c r="V47">
        <v>0</v>
      </c>
      <c r="W47">
        <v>0</v>
      </c>
      <c r="X47">
        <v>0</v>
      </c>
      <c r="Z47">
        <v>0</v>
      </c>
    </row>
    <row r="48" spans="1:26" x14ac:dyDescent="0.25">
      <c r="A48" t="str">
        <f>_xlfn.XLOOKUP(B48,Sheet1!A:A,Sheet1!B:B)</f>
        <v>SVM/VM</v>
      </c>
      <c r="B48">
        <v>103081</v>
      </c>
      <c r="C48" t="s">
        <v>115</v>
      </c>
      <c r="D48" t="s">
        <v>132</v>
      </c>
      <c r="J48" t="s">
        <v>21</v>
      </c>
      <c r="L48" t="s">
        <v>126</v>
      </c>
      <c r="M48" t="s">
        <v>22</v>
      </c>
      <c r="V48">
        <v>31</v>
      </c>
      <c r="W48">
        <v>34</v>
      </c>
      <c r="X48">
        <v>35</v>
      </c>
      <c r="Z48">
        <v>38</v>
      </c>
    </row>
    <row r="49" spans="1:26" x14ac:dyDescent="0.25">
      <c r="A49" t="str">
        <f>_xlfn.XLOOKUP(B49,Sheet1!A:A,Sheet1!B:B)</f>
        <v>SVM/VM</v>
      </c>
      <c r="B49">
        <v>100027</v>
      </c>
      <c r="C49" t="s">
        <v>127</v>
      </c>
      <c r="D49" t="s">
        <v>132</v>
      </c>
      <c r="J49" t="s">
        <v>21</v>
      </c>
      <c r="L49" t="s">
        <v>128</v>
      </c>
      <c r="M49" t="s">
        <v>22</v>
      </c>
      <c r="V49">
        <v>55</v>
      </c>
      <c r="W49">
        <v>59</v>
      </c>
      <c r="X49">
        <v>61</v>
      </c>
      <c r="Z49">
        <v>67</v>
      </c>
    </row>
  </sheetData>
  <autoFilter ref="A1:P49" xr:uid="{897D46A8-3E8E-45CD-BD5E-ED379AFABF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Sheet4</vt:lpstr>
      <vt:lpstr>Worksheet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2026-06-10T07:06:54Z</dcterms:modified>
  <cp:category/>
</cp:coreProperties>
</file>